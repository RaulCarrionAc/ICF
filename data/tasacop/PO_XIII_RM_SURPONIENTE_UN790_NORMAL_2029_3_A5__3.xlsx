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RepositorioZR\ProduccionProd\PO\"/>
    </mc:Choice>
  </mc:AlternateContent>
  <bookViews>
    <workbookView xWindow="0" yWindow="0" windowWidth="21600" windowHeight="8535"/>
  </bookViews>
  <sheets>
    <sheet name="TAPA" sheetId="25" r:id="rId1"/>
    <sheet name="Resumen Servicios" sheetId="11" r:id="rId2"/>
    <sheet name="PC" sheetId="3" r:id="rId3"/>
    <sheet name="LPP" sheetId="8" r:id="rId4"/>
  </sheets>
  <definedNames>
    <definedName name="Dias_en_el_mes">#REF!</definedName>
    <definedName name="Tarifa_Adulta">#REF!</definedName>
    <definedName name="_xlnm.Print_Area" localSheetId="0">TAPA!$B$2:$J$13</definedName>
    <definedName name="_xlnm.Print_Area" localSheetId="2">PC!$A$1:$L$12</definedName>
  </definedNames>
  <calcPr/>
</workbook>
</file>

<file path=xl/calcChain.xml><?xml version="1.0" encoding="utf-8"?>
<calcChain xmlns="http://schemas.openxmlformats.org/spreadsheetml/2006/main">
  <c i="8" l="1" r="A2"/>
  <c i="3" r="A2"/>
  <c a="1" i="11" r="F7"/>
  <c r="G7"/>
  <c a="1" r="A7"/>
  <c r="A7"/>
  <c r="A2"/>
  <c r="E7"/>
  <c r="C7"/>
  <c i="25" r="B4"/>
  <c i="11" l="1" r="F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<sst xmlns="http://schemas.openxmlformats.org/spreadsheetml/2006/main">
  <si>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TIPO REGULACIÓN</t>
  </si>
  <si>
    <t>PE</t>
  </si>
  <si>
    <t>ESTACIONALIDAD</t>
  </si>
  <si>
    <t>NORMAL</t>
  </si>
  <si>
    <t>TIPO ANEXO</t>
  </si>
  <si>
    <t>A5</t>
  </si>
  <si>
    <t>CORRELATIVO A1</t>
  </si>
  <si>
    <t>TIPO PROGRAMA</t>
  </si>
  <si>
    <t>PO</t>
  </si>
  <si>
    <t>CORRELATIVO A5</t>
  </si>
  <si>
    <t>REGIÓN</t>
  </si>
  <si>
    <t>XIII</t>
  </si>
  <si>
    <t>ZONA REGULADA</t>
  </si>
  <si>
    <t>RM_SURPONIENTE</t>
  </si>
  <si>
    <t>UNIDAD DE NEGOCIO</t>
  </si>
  <si>
    <t>UN790</t>
  </si>
  <si>
    <t>CON VERSIONES DE TRAZADO</t>
  </si>
  <si>
    <t>NO</t>
  </si>
  <si>
    <t>FECHA INICIO</t>
  </si>
  <si>
    <t>01-03-2026</t>
  </si>
  <si>
    <t>Realizado por</t>
  </si>
  <si>
    <t>DIEGO FUCHSER</t>
  </si>
  <si>
    <t>FECHA FIN</t>
  </si>
  <si>
    <t>31-08-2029</t>
  </si>
  <si>
    <t>Revisado por</t>
  </si>
  <si>
    <t>CRISTIAN OYARCE</t>
  </si>
  <si>
    <t>RES N°</t>
  </si>
  <si>
    <t>1. Descripción de la Unidad de Negocio</t>
  </si>
  <si>
    <t>UN</t>
  </si>
  <si>
    <t>Estacionalidad</t>
  </si>
  <si>
    <t>FECHA INICIO
 A5</t>
  </si>
  <si>
    <t>FECHA FIN 
A5</t>
  </si>
  <si>
    <t>Servicio</t>
  </si>
  <si>
    <t>Sentido</t>
  </si>
  <si>
    <t>Origen</t>
  </si>
  <si>
    <t>Destino</t>
  </si>
  <si>
    <t>Longitud
 (KM)</t>
  </si>
  <si>
    <t>R790</t>
  </si>
  <si>
    <t>IDA</t>
  </si>
  <si>
    <t>EL MONTE</t>
  </si>
  <si>
    <t>ESTACIÓN CENTRAL</t>
  </si>
  <si>
    <t>REGRESO</t>
  </si>
  <si>
    <t>R790V</t>
  </si>
  <si>
    <t>TALAGANTE</t>
  </si>
  <si>
    <t>R791</t>
  </si>
  <si>
    <t>R792</t>
  </si>
  <si>
    <t>R792V</t>
  </si>
  <si>
    <t>ISLA DE MAIPO</t>
  </si>
  <si>
    <t>R793</t>
  </si>
  <si>
    <t>R794</t>
  </si>
  <si>
    <t>LA FLORIDA</t>
  </si>
  <si>
    <t>R795</t>
  </si>
  <si>
    <t>QUILICURA</t>
  </si>
  <si>
    <t>R796</t>
  </si>
  <si>
    <t>R797</t>
  </si>
  <si>
    <t>R797V</t>
  </si>
  <si>
    <t>R798</t>
  </si>
  <si>
    <t>R799</t>
  </si>
  <si>
    <t>R800</t>
  </si>
  <si>
    <t>R801</t>
  </si>
  <si>
    <t>FECHA INICIO A5</t>
  </si>
  <si>
    <t>FECHA FIN A5</t>
  </si>
  <si>
    <t>2. Puntos de Control</t>
  </si>
  <si>
    <t>Unidad de Negocio</t>
  </si>
  <si>
    <t>Correlativo Punto de Control</t>
  </si>
  <si>
    <t>Longitud</t>
  </si>
  <si>
    <t>Latitud</t>
  </si>
  <si>
    <t>Distancia al origen</t>
  </si>
  <si>
    <t>Seguimiento</t>
  </si>
  <si>
    <t>ICR</t>
  </si>
  <si>
    <t>IP</t>
  </si>
  <si>
    <t>Ponderador ICR</t>
  </si>
  <si>
    <t>Punto Urbano</t>
  </si>
  <si>
    <t>2. Horas de pasada programada</t>
  </si>
  <si>
    <t>Correlativo Punto
de Control</t>
  </si>
  <si>
    <t>Intervalo Anterior
(IPPdk-1)</t>
  </si>
  <si>
    <t>Hora de Pasada Programada
(TPPdk)</t>
  </si>
  <si>
    <t>Intervalo Posterior
(IPPdk)</t>
  </si>
  <si>
    <t>Tipo de Día</t>
  </si>
  <si>
    <t>00:30:00</t>
  </si>
  <si>
    <t>4:50:00</t>
  </si>
  <si>
    <t>00:12:00</t>
  </si>
  <si>
    <t>DL</t>
  </si>
  <si>
    <t>00:20:00</t>
  </si>
  <si>
    <t>DS</t>
  </si>
  <si>
    <t>DF</t>
  </si>
  <si>
    <t>6:45:00</t>
  </si>
  <si>
    <t>6:50:00</t>
  </si>
  <si>
    <t>6:30:00</t>
  </si>
  <si>
    <t>7:13:00</t>
  </si>
  <si>
    <t>00:15:00</t>
  </si>
  <si>
    <t>8:15:00</t>
  </si>
  <si>
    <t>7:45:00</t>
  </si>
  <si>
    <t>18:35:00</t>
  </si>
  <si>
    <t>17:50:00</t>
  </si>
  <si>
    <t>5:45:00</t>
  </si>
  <si>
    <t>7:20:00</t>
  </si>
  <si>
    <t>5:50:00</t>
  </si>
  <si>
    <t>5:20:00</t>
  </si>
  <si>
    <t>8:05:00</t>
  </si>
  <si>
    <t>9:15:00</t>
  </si>
  <si>
    <t>7:25:00</t>
  </si>
  <si>
    <t>00:10:00</t>
  </si>
  <si>
    <t>16:31:00</t>
  </si>
  <si>
    <t>16:50:00</t>
  </si>
  <si>
    <t>8:50:00</t>
  </si>
  <si>
    <t>12:45:00</t>
  </si>
</sst>
</file>

<file path=xl/styles.xml><?xml version="1.0" encoding="utf-8"?>
<styleSheet xmlns="http://schemas.openxmlformats.org/spreadsheetml/2006/main">
  <numFmts count="3">
    <numFmt numFmtId="164" formatCode="dd\/mm\/yyyy"/>
    <numFmt numFmtId="165" formatCode="0.000000"/>
    <numFmt numFmtId="166" formatCode="_-* #,##0.00_-;-* #,##0.00_-;_-* &quot;-&quot;??_-;_-@_-"/>
  </numFmts>
  <fonts count="15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1"/>
      <color theme="1"/>
      <name val="Calibri"/>
      <scheme val="minor"/>
    </font>
    <font>
      <sz val="9"/>
      <color theme="1"/>
      <name val="Calibri"/>
      <scheme val="minor"/>
    </font>
    <font>
      <sz val="11"/>
      <color theme="0"/>
      <name val="Calibri"/>
      <scheme val="minor"/>
    </font>
    <font>
      <b/>
      <sz val="28"/>
      <color theme="1"/>
      <name val="Calibri"/>
      <scheme val="minor"/>
    </font>
    <font>
      <sz val="11"/>
      <name val="Calibri"/>
      <scheme val="minor"/>
    </font>
    <font>
      <b/>
      <sz val="11"/>
      <color theme="1"/>
      <name val="Trebuchet MS"/>
    </font>
    <font>
      <sz val="10"/>
      <color theme="0"/>
      <name val="Calibri"/>
    </font>
    <font>
      <sz val="8"/>
      <color theme="1"/>
      <name val="Calibri"/>
      <scheme val="minor"/>
    </font>
    <font>
      <b/>
      <sz val="10"/>
      <color theme="0"/>
      <name val="Calibri"/>
    </font>
    <font>
      <sz val="8"/>
      <color rgb="FF000000"/>
      <name val="Calibri"/>
    </font>
    <font>
      <b/>
      <sz val="11"/>
      <color rgb="FFFF0000"/>
      <name val="Calibri"/>
      <scheme val="minor"/>
    </font>
    <font>
      <sz val="11"/>
      <color rgb="FFFF0000"/>
      <name val="Calibri"/>
      <scheme val="minor"/>
    </font>
    <font>
      <sz val="10"/>
      <name val="MS Sans Serif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37437055574"/>
        <bgColor indexed="64"/>
      </patternFill>
    </fill>
  </fills>
  <borders count="9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</borders>
  <cellStyleXfs count="3">
    <xf numFmtId="0" fontId="0" fillId="0" borderId="0"/>
    <xf numFmtId="166" fontId="0" fillId="0" borderId="0" applyFont="0" applyFill="0" applyBorder="0" applyAlignment="0" applyProtection="0"/>
    <xf numFmtId="0" fontId="14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7" fillId="2" borderId="0" xfId="0" applyFont="1" applyFill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2" fontId="1" fillId="0" borderId="1" xfId="0" applyNumberFormat="1" applyFont="1" applyBorder="1" applyAlignment="1">
      <alignment horizontal="center" vertical="center"/>
    </xf>
    <xf numFmtId="0" fontId="9" fillId="0" borderId="0" xfId="0" applyFont="1"/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0" xfId="0" applyFont="1" applyFill="1"/>
    <xf numFmtId="0" fontId="0" fillId="0" borderId="0" xfId="0" applyFont="1" applyFill="1"/>
    <xf numFmtId="0" fontId="9" fillId="0" borderId="0" xfId="0" applyFont="1" applyAlignment="1">
      <alignment horizontal="left"/>
    </xf>
    <xf numFmtId="0" fontId="10" fillId="6" borderId="5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165" fontId="11" fillId="0" borderId="2" xfId="0" applyNumberFormat="1" applyFont="1" applyBorder="1" applyAlignment="1">
      <alignment horizontal="center"/>
    </xf>
    <xf numFmtId="2" fontId="11" fillId="0" borderId="2" xfId="0" applyNumberFormat="1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2" fillId="0" borderId="0" xfId="0" applyFont="1" applyFill="1"/>
    <xf numFmtId="0" fontId="13" fillId="0" borderId="0" xfId="0" applyFont="1" applyFill="1"/>
    <xf numFmtId="0" fontId="8" fillId="6" borderId="7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3">
    <cellStyle name="Normal" xfId="0" builtinId="0"/>
    <cellStyle name="Millares 2" xfId="1"/>
    <cellStyle name="Normal 2" xfId="2"/>
  </cellStyles>
  <dxfs count="12">
    <dxf>
      <fill>
        <patternFill>
          <bgColor rgb="FFFFFF9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65" formatCode="0.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7" tint="0.399884029663991"/>
        </patternFill>
      </fill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theme" Target="theme/theme1.xml" /><Relationship Id="rId7" Type="http://schemas.openxmlformats.org/officeDocument/2006/relationships/calcChain" Target="calcChain.xml" /><Relationship Id="rId8" Type="http://schemas.openxmlformats.org/officeDocument/2006/relationships/sharedStrings" Target="sharedStrings.xml" /><Relationship Id="rId9" Type="http://schemas.openxmlformats.org/officeDocument/2006/relationships/sheetMetadata" Target="metadata.xml" /></Relationships>
</file>

<file path=xl/tables/table1.xml><?xml version="1.0" encoding="utf-8"?>
<table xmlns="http://schemas.openxmlformats.org/spreadsheetml/2006/main" id="1" name="Tabla1" displayName="Tabla1" ref="A11:L243" headerRowDxfId="1" dataDxfId="4" headerRowBorderDxfId="2" tableBorderDxfId="5" totalsRowBorderDxfId="3">
  <autoFilter ref="A11:L243"/>
  <tableColumns count="12">
    <tableColumn id="1" name="Unidad de Negocio" totalsRowLabel="Total" dataDxfId="6"/>
    <tableColumn id="2" name="Servicio" dataDxfId="7"/>
    <tableColumn id="3" name="Sentido" dataDxfId="8"/>
    <tableColumn id="4" name="Correlativo Punto de Control" dataDxfId="8"/>
    <tableColumn id="5" name="Longitud" dataDxfId="9"/>
    <tableColumn id="6" name="Latitud" dataDxfId="9"/>
    <tableColumn id="7" name="Distancia al origen" dataDxfId="10"/>
    <tableColumn id="8" name="Seguimiento" dataDxfId="8"/>
    <tableColumn id="9" name="ICR" dataDxfId="6"/>
    <tableColumn id="10" name="IP" dataDxfId="6"/>
    <tableColumn id="11" name="Ponderador ICR" dataDxfId="6"/>
    <tableColumn id="12" name="Punto Urbano" dataDxfId="6"/>
  </tableColumns>
  <tableStyleInfo name="TableStyleMedium4" showColumnStripes="0" showFirstColumn="0" showLastColumn="0" showRowStripes="1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table" Target="../tables/table1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theme="7"/>
    <pageSetUpPr fitToPage="1"/>
  </sheetPr>
  <sheetViews>
    <sheetView tabSelected="1" zoomScale="90" zoomScaleNormal="90" workbookViewId="0"/>
  </sheetViews>
  <sheetFormatPr baseColWidth="10" defaultColWidth="11.42578" defaultRowHeight="15"/>
  <cols>
    <col min="1" max="1" width="3.285156" customWidth="1"/>
    <col min="2" max="2" width="22" customWidth="1"/>
    <col min="3" max="3" width="20.85547" style="4" customWidth="1"/>
    <col min="4" max="5" width="16.28516" style="4" customWidth="1"/>
    <col min="6" max="6" width="13.28516" style="4" customWidth="1"/>
    <col min="7" max="7" width="20" style="4" customWidth="1"/>
    <col min="8" max="8" width="9.425781" customWidth="1"/>
    <col min="9" max="10" width="14.71094" customWidth="1"/>
  </cols>
  <sheetData>
    <row r="1">
      <c r="A1" s="5"/>
    </row>
    <row r="2">
      <c r="C2"/>
      <c r="D2"/>
      <c r="E2"/>
      <c r="F2"/>
      <c r="G2"/>
    </row>
    <row r="4" ht="51.6" customHeight="1">
      <c r="B4" s="6" t="str">
        <f>+D10&amp;"_"&amp;D11&amp;"_"&amp;D12&amp;"_"&amp;D13&amp;"_"&amp;I8&amp;"_"&amp;YEAR(D16)&amp;"_"&amp;I9&amp;"_A5_"&amp;I10&amp;""</f>
        <v>PO_XIII_RM_SURPONIENTE_UN790_NORMAL_2026_3_A5_3</v>
      </c>
      <c r="C4" s="6"/>
      <c r="D4" s="6"/>
      <c r="E4" s="6"/>
      <c r="F4" s="6"/>
      <c r="G4" s="6"/>
      <c r="H4" s="6"/>
      <c r="I4" s="6"/>
      <c r="J4" s="6"/>
    </row>
    <row r="5" s="1" customFormat="1">
      <c r="B5"/>
      <c r="C5"/>
      <c r="D5"/>
      <c r="E5"/>
      <c r="F5"/>
      <c r="G5"/>
      <c r="H5"/>
      <c r="I5"/>
      <c r="J5"/>
    </row>
    <row r="6" s="1" customFormat="1">
      <c r="B6"/>
      <c r="C6"/>
      <c r="D6"/>
      <c r="E6"/>
      <c r="F6"/>
      <c r="G6"/>
      <c r="H6"/>
      <c r="I6"/>
      <c r="J6"/>
    </row>
    <row r="7">
      <c r="C7"/>
      <c r="D7"/>
      <c r="E7"/>
      <c r="F7"/>
      <c r="G7"/>
    </row>
    <row r="8" ht="15" customHeight="1">
      <c r="B8" s="7" t="s">
        <v>0</v>
      </c>
      <c r="C8" s="7"/>
      <c r="D8" s="8" t="s">
        <v>1</v>
      </c>
      <c r="E8" s="9"/>
      <c r="F8"/>
      <c r="G8" s="7" t="s">
        <v>2</v>
      </c>
      <c r="H8" s="7"/>
      <c r="I8" s="10" t="s">
        <v>3</v>
      </c>
      <c r="J8" s="10"/>
    </row>
    <row r="9" ht="15" customHeight="1">
      <c r="B9" s="7" t="s">
        <v>4</v>
      </c>
      <c r="C9" s="7"/>
      <c r="D9" s="11" t="s">
        <v>5</v>
      </c>
      <c r="E9" s="11"/>
      <c r="F9"/>
      <c r="G9" s="7" t="s">
        <v>6</v>
      </c>
      <c r="H9" s="7"/>
      <c r="I9" s="10">
        <v>3</v>
      </c>
      <c r="J9" s="10"/>
    </row>
    <row r="10" ht="15" customHeight="1">
      <c r="B10" s="7" t="s">
        <v>7</v>
      </c>
      <c r="C10" s="7"/>
      <c r="D10" s="8" t="s">
        <v>8</v>
      </c>
      <c r="E10" s="9"/>
      <c r="G10" s="7" t="s">
        <v>9</v>
      </c>
      <c r="H10" s="7"/>
      <c r="I10" s="10">
        <v>3</v>
      </c>
      <c r="J10" s="10"/>
    </row>
    <row r="11" ht="15" customHeight="1">
      <c r="B11" s="7" t="s">
        <v>10</v>
      </c>
      <c r="C11" s="7"/>
      <c r="D11" s="8" t="s">
        <v>11</v>
      </c>
      <c r="E11" s="9"/>
    </row>
    <row r="12" ht="15" customHeight="1">
      <c r="B12" s="7" t="s">
        <v>12</v>
      </c>
      <c r="C12" s="7"/>
      <c r="D12" s="8" t="s">
        <v>13</v>
      </c>
      <c r="E12" s="9"/>
    </row>
    <row r="13" ht="15" customHeight="1">
      <c r="B13" s="7" t="s">
        <v>14</v>
      </c>
      <c r="C13" s="7"/>
      <c r="D13" s="8" t="s">
        <v>15</v>
      </c>
      <c r="E13" s="9"/>
    </row>
    <row r="14" ht="15" customHeight="1">
      <c r="B14" s="7" t="s">
        <v>16</v>
      </c>
      <c r="C14" s="7"/>
      <c r="D14" s="12" t="s">
        <v>17</v>
      </c>
      <c r="E14" s="12"/>
    </row>
    <row r="15" ht="15" customHeight="1">
      <c r="D15" s="13"/>
      <c r="E15" s="13"/>
    </row>
    <row r="16" ht="15" customHeight="1">
      <c r="B16" s="7" t="s">
        <v>18</v>
      </c>
      <c r="C16" s="7"/>
      <c r="D16" s="14" t="s">
        <v>19</v>
      </c>
      <c r="E16" s="14"/>
      <c r="G16" s="15" t="s">
        <v>20</v>
      </c>
      <c r="H16" s="16" t="s">
        <v>21</v>
      </c>
      <c r="I16" s="16"/>
      <c r="J16" s="16"/>
    </row>
    <row r="17" ht="15" customHeight="1">
      <c r="B17" s="7" t="s">
        <v>22</v>
      </c>
      <c r="C17" s="7"/>
      <c r="D17" s="14" t="s">
        <v>23</v>
      </c>
      <c r="E17" s="14"/>
      <c r="G17" s="15" t="s">
        <v>24</v>
      </c>
      <c r="H17" s="16" t="s">
        <v>25</v>
      </c>
      <c r="I17" s="16"/>
      <c r="J17" s="16"/>
    </row>
    <row r="18" ht="15" customHeight="1">
      <c r="D18" s="13"/>
      <c r="E18" s="13"/>
    </row>
    <row r="19" ht="16.5" customHeight="1">
      <c r="B19" s="7" t="s">
        <v>26</v>
      </c>
      <c r="C19" s="7"/>
      <c r="D19" s="11">
        <v>555</v>
      </c>
      <c r="E19" s="11"/>
    </row>
    <row r="20" ht="23.25" customHeight="1">
      <c r="D20" s="13"/>
      <c r="E20" s="13"/>
    </row>
    <row r="21" ht="16.5" customHeight="1"/>
  </sheetData>
  <mergeCells count="29">
    <mergeCell ref="H16:J16"/>
    <mergeCell ref="B17:C17"/>
    <mergeCell ref="D17:E17"/>
    <mergeCell ref="H17:J17"/>
    <mergeCell ref="B19:C19"/>
    <mergeCell ref="D19:E19"/>
    <mergeCell ref="B12:C12"/>
    <mergeCell ref="D12:E12"/>
    <mergeCell ref="B13:C13"/>
    <mergeCell ref="D13:E13"/>
    <mergeCell ref="B16:C16"/>
    <mergeCell ref="D16:E16"/>
    <mergeCell ref="B14:C14"/>
    <mergeCell ref="D14:E14"/>
    <mergeCell ref="B10:C10"/>
    <mergeCell ref="D10:E10"/>
    <mergeCell ref="G10:H10"/>
    <mergeCell ref="I10:J10"/>
    <mergeCell ref="B11:C11"/>
    <mergeCell ref="D11:E11"/>
    <mergeCell ref="B9:C9"/>
    <mergeCell ref="D9:E9"/>
    <mergeCell ref="G9:H9"/>
    <mergeCell ref="I9:J9"/>
    <mergeCell ref="B4:J4"/>
    <mergeCell ref="B8:C8"/>
    <mergeCell ref="D8:E8"/>
    <mergeCell ref="G8:H8"/>
    <mergeCell ref="I8:J8"/>
  </mergeCells>
  <conditionalFormatting sqref="H16:H17">
    <cfRule priority="1" dxfId="0" type="expression">
      <formula>H16=""</formula>
    </cfRule>
  </conditionalFormatting>
  <conditionalFormatting sqref="I8:J8">
    <cfRule priority="3" dxfId="0" type="expression">
      <formula>I8=""</formula>
    </cfRule>
  </conditionalFormatting>
  <conditionalFormatting sqref="I9:J9">
    <cfRule priority="4" dxfId="0" type="expression">
      <formula>I9=""</formula>
    </cfRule>
  </conditionalFormatting>
  <conditionalFormatting sqref="I10:J10">
    <cfRule priority="5" dxfId="0" type="expression">
      <formula>I10=""</formula>
    </cfRule>
  </conditionalFormatting>
  <conditionalFormatting sqref="D9:E9">
    <cfRule priority="6" dxfId="0" type="expression">
      <formula>D9=""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6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C8" sqref="C8"/>
    </sheetView>
  </sheetViews>
  <sheetFormatPr baseColWidth="10" defaultRowHeight="15"/>
  <cols>
    <col min="4" max="5" width="16.71094" customWidth="1"/>
    <col min="6" max="6" width="18.85547" customWidth="1"/>
  </cols>
  <sheetData>
    <row r="2" ht="16.5">
      <c r="A2" s="17" t="str">
        <f>"SERVICIOS DE LA UNIDAD DE NEGOCIO ("&amp;A7&amp;" - "&amp;C7&amp;")"</f>
        <v>SERVICIOS DE LA UNIDAD DE NEGOCIO (UN790 - NORMAL)</v>
      </c>
      <c r="B2" s="17"/>
      <c r="C2" s="17"/>
      <c r="D2" s="17"/>
      <c r="E2" s="17"/>
      <c r="F2" s="17"/>
    </row>
    <row r="4">
      <c r="A4" s="2" t="s">
        <v>27</v>
      </c>
      <c r="B4" s="2"/>
      <c r="C4" s="2"/>
      <c r="D4" s="2"/>
      <c r="E4" s="2"/>
      <c r="F4" s="2"/>
    </row>
    <row r="6" ht="30">
      <c r="A6" s="18" t="s">
        <v>28</v>
      </c>
      <c r="B6" s="19"/>
      <c r="C6" s="18" t="s">
        <v>29</v>
      </c>
      <c r="D6" s="20"/>
      <c r="E6" s="21" t="s">
        <v>30</v>
      </c>
      <c r="F6" s="21" t="s">
        <v>31</v>
      </c>
    </row>
    <row r="7">
      <c r="A7" s="22" t="str" cm="1">
        <f t="array" ref="A7">+TAPA!D13:E13</f>
        <v>UN790</v>
      </c>
      <c r="B7" s="23"/>
      <c r="C7" s="22" t="str">
        <f>TAPA!I8</f>
        <v>NORMAL</v>
      </c>
      <c r="D7" s="24"/>
      <c r="E7" s="25" t="str">
        <f>+TAPA!D16</f>
        <v>01-03-2026</v>
      </c>
      <c r="F7" s="25" t="str" cm="1">
        <f t="array" ref="F7:G7">+TAPA!D17:E17</f>
        <v>31-08-2029</v>
      </c>
      <c r="G7" t="str">
        <v>31-08-2029</v>
      </c>
    </row>
    <row r="9" ht="25.5">
      <c r="A9" s="26" t="s">
        <v>28</v>
      </c>
      <c r="B9" s="26" t="s">
        <v>32</v>
      </c>
      <c r="C9" s="26" t="s">
        <v>33</v>
      </c>
      <c r="D9" s="26" t="s">
        <v>34</v>
      </c>
      <c r="E9" s="26" t="s">
        <v>35</v>
      </c>
      <c r="F9" s="26" t="s">
        <v>36</v>
      </c>
    </row>
    <row r="10">
      <c r="A10" s="27" t="s">
        <v>15</v>
      </c>
      <c r="B10" s="27" t="s">
        <v>37</v>
      </c>
      <c r="C10" s="27" t="s">
        <v>38</v>
      </c>
      <c r="D10" s="28" t="s">
        <v>39</v>
      </c>
      <c r="E10" s="28" t="s">
        <v>40</v>
      </c>
      <c r="F10" s="29">
        <v>52.799999999999997</v>
      </c>
    </row>
    <row r="11">
      <c r="A11" s="27" t="s">
        <v>15</v>
      </c>
      <c r="B11" s="27" t="s">
        <v>37</v>
      </c>
      <c r="C11" s="27" t="s">
        <v>41</v>
      </c>
      <c r="D11" s="28" t="s">
        <v>40</v>
      </c>
      <c r="E11" s="28" t="s">
        <v>39</v>
      </c>
      <c r="F11" s="29">
        <v>50.100000000000001</v>
      </c>
    </row>
    <row r="12">
      <c r="A12" s="27" t="s">
        <v>15</v>
      </c>
      <c r="B12" s="27" t="s">
        <v>42</v>
      </c>
      <c r="C12" s="27" t="s">
        <v>41</v>
      </c>
      <c r="D12" s="28" t="s">
        <v>40</v>
      </c>
      <c r="E12" s="28" t="s">
        <v>43</v>
      </c>
      <c r="F12" s="29">
        <v>36.799999999999997</v>
      </c>
    </row>
    <row r="13">
      <c r="A13" s="27" t="s">
        <v>15</v>
      </c>
      <c r="B13" s="27" t="s">
        <v>44</v>
      </c>
      <c r="C13" s="27" t="s">
        <v>38</v>
      </c>
      <c r="D13" s="28" t="s">
        <v>43</v>
      </c>
      <c r="E13" s="28" t="s">
        <v>40</v>
      </c>
      <c r="F13" s="29">
        <v>40.200000000000003</v>
      </c>
    </row>
    <row r="14">
      <c r="A14" s="27" t="s">
        <v>15</v>
      </c>
      <c r="B14" s="27" t="s">
        <v>45</v>
      </c>
      <c r="C14" s="27" t="s">
        <v>38</v>
      </c>
      <c r="D14" s="28" t="s">
        <v>43</v>
      </c>
      <c r="E14" s="28" t="s">
        <v>40</v>
      </c>
      <c r="F14" s="29">
        <v>64.599999999999994</v>
      </c>
    </row>
    <row r="15">
      <c r="A15" s="27" t="s">
        <v>15</v>
      </c>
      <c r="B15" s="27" t="s">
        <v>45</v>
      </c>
      <c r="C15" s="27" t="s">
        <v>41</v>
      </c>
      <c r="D15" s="28" t="s">
        <v>40</v>
      </c>
      <c r="E15" s="28" t="s">
        <v>43</v>
      </c>
      <c r="F15" s="29">
        <v>61</v>
      </c>
    </row>
    <row r="16">
      <c r="A16" s="27" t="s">
        <v>15</v>
      </c>
      <c r="B16" s="27" t="s">
        <v>46</v>
      </c>
      <c r="C16" s="27" t="s">
        <v>41</v>
      </c>
      <c r="D16" s="28" t="s">
        <v>40</v>
      </c>
      <c r="E16" s="28" t="s">
        <v>47</v>
      </c>
      <c r="F16" s="29">
        <v>47.700000000000003</v>
      </c>
    </row>
    <row r="17">
      <c r="A17" s="27" t="s">
        <v>15</v>
      </c>
      <c r="B17" s="27" t="s">
        <v>48</v>
      </c>
      <c r="C17" s="27" t="s">
        <v>38</v>
      </c>
      <c r="D17" s="28" t="s">
        <v>47</v>
      </c>
      <c r="E17" s="28" t="s">
        <v>40</v>
      </c>
      <c r="F17" s="29">
        <v>51.600000000000001</v>
      </c>
    </row>
    <row r="18">
      <c r="A18" s="27" t="s">
        <v>15</v>
      </c>
      <c r="B18" s="27" t="s">
        <v>49</v>
      </c>
      <c r="C18" s="27" t="s">
        <v>38</v>
      </c>
      <c r="D18" s="28" t="s">
        <v>39</v>
      </c>
      <c r="E18" s="28" t="s">
        <v>50</v>
      </c>
      <c r="F18" s="29">
        <v>58</v>
      </c>
    </row>
    <row r="19">
      <c r="A19" s="27" t="s">
        <v>15</v>
      </c>
      <c r="B19" s="27" t="s">
        <v>49</v>
      </c>
      <c r="C19" s="27" t="s">
        <v>41</v>
      </c>
      <c r="D19" s="28" t="s">
        <v>50</v>
      </c>
      <c r="E19" s="28" t="s">
        <v>39</v>
      </c>
      <c r="F19" s="29">
        <v>57.299999999999997</v>
      </c>
    </row>
    <row r="20">
      <c r="A20" s="27" t="s">
        <v>15</v>
      </c>
      <c r="B20" s="27" t="s">
        <v>51</v>
      </c>
      <c r="C20" s="27" t="s">
        <v>38</v>
      </c>
      <c r="D20" s="28" t="s">
        <v>43</v>
      </c>
      <c r="E20" s="28" t="s">
        <v>52</v>
      </c>
      <c r="F20" s="29">
        <v>54</v>
      </c>
    </row>
    <row r="21">
      <c r="A21" s="27" t="s">
        <v>15</v>
      </c>
      <c r="B21" s="27" t="s">
        <v>51</v>
      </c>
      <c r="C21" s="27" t="s">
        <v>41</v>
      </c>
      <c r="D21" s="28" t="s">
        <v>52</v>
      </c>
      <c r="E21" s="28" t="s">
        <v>43</v>
      </c>
      <c r="F21" s="29">
        <v>50.100000000000001</v>
      </c>
    </row>
    <row r="22">
      <c r="A22" s="27" t="s">
        <v>15</v>
      </c>
      <c r="B22" s="27" t="s">
        <v>53</v>
      </c>
      <c r="C22" s="27" t="s">
        <v>38</v>
      </c>
      <c r="D22" s="28" t="s">
        <v>43</v>
      </c>
      <c r="E22" s="28" t="s">
        <v>40</v>
      </c>
      <c r="F22" s="29">
        <v>46.5</v>
      </c>
    </row>
    <row r="23">
      <c r="A23" s="27" t="s">
        <v>15</v>
      </c>
      <c r="B23" s="27" t="s">
        <v>54</v>
      </c>
      <c r="C23" s="27" t="s">
        <v>38</v>
      </c>
      <c r="D23" s="28" t="s">
        <v>39</v>
      </c>
      <c r="E23" s="28" t="s">
        <v>40</v>
      </c>
      <c r="F23" s="29">
        <v>57.5</v>
      </c>
    </row>
    <row r="24">
      <c r="A24" s="27" t="s">
        <v>15</v>
      </c>
      <c r="B24" s="27" t="s">
        <v>54</v>
      </c>
      <c r="C24" s="27" t="s">
        <v>41</v>
      </c>
      <c r="D24" s="28" t="s">
        <v>40</v>
      </c>
      <c r="E24" s="28" t="s">
        <v>39</v>
      </c>
      <c r="F24" s="29">
        <v>50.799999999999997</v>
      </c>
    </row>
    <row r="25">
      <c r="A25" s="27" t="s">
        <v>15</v>
      </c>
      <c r="B25" s="27" t="s">
        <v>55</v>
      </c>
      <c r="C25" s="27" t="s">
        <v>38</v>
      </c>
      <c r="D25" s="28" t="s">
        <v>39</v>
      </c>
      <c r="E25" s="28" t="s">
        <v>40</v>
      </c>
      <c r="F25" s="29">
        <v>58.700000000000003</v>
      </c>
    </row>
    <row r="26">
      <c r="A26" s="27" t="s">
        <v>15</v>
      </c>
      <c r="B26" s="27" t="s">
        <v>55</v>
      </c>
      <c r="C26" s="27" t="s">
        <v>41</v>
      </c>
      <c r="D26" s="28" t="s">
        <v>40</v>
      </c>
      <c r="E26" s="28" t="s">
        <v>43</v>
      </c>
      <c r="F26" s="29">
        <v>40.899999999999999</v>
      </c>
    </row>
    <row r="27">
      <c r="A27" s="27" t="s">
        <v>15</v>
      </c>
      <c r="B27" s="27" t="s">
        <v>56</v>
      </c>
      <c r="C27" s="27" t="s">
        <v>38</v>
      </c>
      <c r="D27" s="28" t="s">
        <v>39</v>
      </c>
      <c r="E27" s="28" t="s">
        <v>40</v>
      </c>
      <c r="F27" s="29">
        <v>59</v>
      </c>
    </row>
    <row r="28">
      <c r="A28" s="27" t="s">
        <v>15</v>
      </c>
      <c r="B28" s="27" t="s">
        <v>56</v>
      </c>
      <c r="C28" s="27" t="s">
        <v>41</v>
      </c>
      <c r="D28" s="28" t="s">
        <v>40</v>
      </c>
      <c r="E28" s="28" t="s">
        <v>39</v>
      </c>
      <c r="F28" s="29">
        <v>52.299999999999997</v>
      </c>
    </row>
    <row r="29">
      <c r="A29" s="27" t="s">
        <v>15</v>
      </c>
      <c r="B29" s="27" t="s">
        <v>57</v>
      </c>
      <c r="C29" s="27" t="s">
        <v>38</v>
      </c>
      <c r="D29" s="28" t="s">
        <v>47</v>
      </c>
      <c r="E29" s="28" t="s">
        <v>40</v>
      </c>
      <c r="F29" s="29">
        <v>58.799999999999997</v>
      </c>
    </row>
    <row r="30">
      <c r="A30" s="27" t="s">
        <v>15</v>
      </c>
      <c r="B30" s="27" t="s">
        <v>58</v>
      </c>
      <c r="C30" s="27" t="s">
        <v>41</v>
      </c>
      <c r="D30" s="28" t="s">
        <v>40</v>
      </c>
      <c r="E30" s="28" t="s">
        <v>47</v>
      </c>
      <c r="F30" s="29">
        <v>47.700000000000003</v>
      </c>
    </row>
    <row r="31">
      <c r="A31" s="27" t="s">
        <v>15</v>
      </c>
      <c r="B31" s="27" t="s">
        <v>59</v>
      </c>
      <c r="C31" s="27" t="s">
        <v>38</v>
      </c>
      <c r="D31" s="28" t="s">
        <v>47</v>
      </c>
      <c r="E31" s="28" t="s">
        <v>40</v>
      </c>
      <c r="F31" s="29">
        <v>55</v>
      </c>
    </row>
  </sheetData>
  <mergeCells count="5">
    <mergeCell ref="A2:F2"/>
    <mergeCell ref="A6:B6"/>
    <mergeCell ref="C6:D6"/>
    <mergeCell ref="A7:B7"/>
    <mergeCell ref="C7:D7"/>
  </mergeCells>
</worksheet>
</file>

<file path=xl/worksheets/sheet3.xml><?xml version="1.0" encoding="utf-8"?>
<worksheet xmlns:r="http://schemas.openxmlformats.org/officeDocument/2006/relationships" xmlns="http://schemas.openxmlformats.org/spreadsheetml/2006/main">
  <sheetPr codeName="Hoja2">
    <pageSetUpPr fitToPage="1"/>
  </sheetPr>
  <sheetViews>
    <sheetView zoomScaleNormal="100" workbookViewId="0">
      <selection activeCell="M11" sqref="M11"/>
    </sheetView>
  </sheetViews>
  <sheetFormatPr baseColWidth="10" defaultColWidth="20.42578" defaultRowHeight="14.25" customHeight="1"/>
  <cols>
    <col min="1" max="1" width="8.425781" style="30" customWidth="1"/>
    <col min="2" max="2" width="7.855469" style="30" bestFit="1" customWidth="1"/>
    <col min="3" max="3" width="3.285156" style="30" bestFit="1" customWidth="1"/>
    <col min="4" max="4" width="5.710938" style="30" bestFit="1" customWidth="1"/>
    <col min="5" max="5" width="11.85547" style="30" customWidth="1"/>
    <col min="6" max="6" width="13.71094" style="30" customWidth="1"/>
    <col min="7" max="7" width="8.710938" style="30" bestFit="1" customWidth="1"/>
    <col min="8" max="10" width="3.285156" style="30" bestFit="1" customWidth="1"/>
    <col min="11" max="11" width="4" style="30" bestFit="1" customWidth="1"/>
    <col min="12" max="12" width="3.285156" style="30" bestFit="1" customWidth="1"/>
    <col min="13" max="16384" width="20.42578" style="30"/>
  </cols>
  <sheetData>
    <row r="1" ht="11.25"/>
    <row r="2" ht="16.5">
      <c r="A2" s="17" t="str">
        <f>"PUNTOS DE CONTROL DE LA UNIDAD DE NEGOCIO ("&amp;A7&amp;" - "&amp;C7&amp;")"</f>
        <v>PUNTOS DE CONTROL DE LA UNIDAD DE NEGOCIO (UN790 - NORMAL)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ht="11.25"/>
    <row r="4" s="2" customFormat="1" ht="15">
      <c r="A4" s="2" t="s">
        <v>27</v>
      </c>
    </row>
    <row r="5" ht="11.25"/>
    <row r="6" ht="15">
      <c r="A6" s="31" t="s">
        <v>28</v>
      </c>
      <c r="B6" s="32"/>
      <c r="C6" s="31" t="s">
        <v>29</v>
      </c>
      <c r="D6" s="33"/>
      <c r="E6" s="32"/>
      <c r="F6" s="31" t="s">
        <v>60</v>
      </c>
      <c r="G6" s="32"/>
      <c r="H6" s="31" t="s">
        <v>61</v>
      </c>
      <c r="I6" s="33"/>
      <c r="J6" s="33"/>
      <c r="K6" s="33"/>
      <c r="L6" s="32"/>
    </row>
    <row r="7" ht="15">
      <c r="A7" s="22" t="s">
        <v>15</v>
      </c>
      <c r="B7" s="23"/>
      <c r="C7" s="22" t="s">
        <v>3</v>
      </c>
      <c r="D7" s="24"/>
      <c r="E7" s="23"/>
      <c r="F7" s="34" t="s">
        <v>19</v>
      </c>
      <c r="G7" s="35"/>
      <c r="H7" s="34" t="s">
        <v>23</v>
      </c>
      <c r="I7" s="36"/>
      <c r="J7" s="36"/>
      <c r="K7" s="36"/>
      <c r="L7" s="35"/>
    </row>
    <row r="8" ht="11.25"/>
    <row r="9" s="2" customFormat="1" ht="15">
      <c r="A9" s="2" t="s">
        <v>62</v>
      </c>
      <c r="D9" s="37"/>
      <c r="E9" s="38"/>
      <c r="F9" s="37"/>
      <c r="G9" s="37"/>
      <c r="H9" s="37"/>
    </row>
    <row r="10" ht="14.25" customHeight="1">
      <c r="L10" s="39"/>
    </row>
    <row r="11" s="3" customFormat="1" ht="99.75" customHeight="1">
      <c r="A11" s="40" t="s">
        <v>63</v>
      </c>
      <c r="B11" s="41" t="s">
        <v>32</v>
      </c>
      <c r="C11" s="41" t="s">
        <v>33</v>
      </c>
      <c r="D11" s="41" t="s">
        <v>64</v>
      </c>
      <c r="E11" s="41" t="s">
        <v>65</v>
      </c>
      <c r="F11" s="41" t="s">
        <v>66</v>
      </c>
      <c r="G11" s="41" t="s">
        <v>67</v>
      </c>
      <c r="H11" s="41" t="s">
        <v>68</v>
      </c>
      <c r="I11" s="41" t="s">
        <v>69</v>
      </c>
      <c r="J11" s="41" t="s">
        <v>70</v>
      </c>
      <c r="K11" s="41" t="s">
        <v>71</v>
      </c>
      <c r="L11" s="41" t="s">
        <v>72</v>
      </c>
    </row>
    <row r="12" ht="14.25" customHeight="1">
      <c r="A12" s="42" t="s">
        <v>15</v>
      </c>
      <c r="B12" s="43" t="s">
        <v>37</v>
      </c>
      <c r="C12" s="43">
        <v>0</v>
      </c>
      <c r="D12" s="43">
        <v>1</v>
      </c>
      <c r="E12" s="44">
        <v>-71.056903392999999</v>
      </c>
      <c r="F12" s="44">
        <v>-33.689733832999899</v>
      </c>
      <c r="G12" s="45">
        <v>1422.71</v>
      </c>
      <c r="H12" s="43">
        <v>1</v>
      </c>
      <c r="I12" s="42">
        <v>1</v>
      </c>
      <c r="J12" s="42">
        <v>1</v>
      </c>
      <c r="K12" s="42">
        <v>0.80000000000000004</v>
      </c>
      <c r="L12" s="42">
        <v>1</v>
      </c>
    </row>
    <row r="13" ht="14.25" customHeight="1">
      <c r="A13" s="42" t="s">
        <v>15</v>
      </c>
      <c r="B13" s="43" t="s">
        <v>37</v>
      </c>
      <c r="C13" s="43">
        <v>0</v>
      </c>
      <c r="D13" s="43">
        <v>2</v>
      </c>
      <c r="E13" s="44">
        <v>-71.006665765999998</v>
      </c>
      <c r="F13" s="44">
        <v>-33.683870319999997</v>
      </c>
      <c r="G13" s="45">
        <v>6142.54</v>
      </c>
      <c r="H13" s="43">
        <v>1</v>
      </c>
      <c r="I13" s="42">
        <v>1</v>
      </c>
      <c r="J13" s="42">
        <v>0</v>
      </c>
      <c r="K13" s="42">
        <v>0.10000000000000001</v>
      </c>
      <c r="L13" s="42">
        <v>1</v>
      </c>
    </row>
    <row r="14" ht="14.25" customHeight="1">
      <c r="A14" s="42" t="s">
        <v>15</v>
      </c>
      <c r="B14" s="43" t="s">
        <v>37</v>
      </c>
      <c r="C14" s="43">
        <v>0</v>
      </c>
      <c r="D14" s="43">
        <v>3</v>
      </c>
      <c r="E14" s="44">
        <v>-70.977311900000004</v>
      </c>
      <c r="F14" s="44">
        <v>-33.678908900000003</v>
      </c>
      <c r="G14" s="45">
        <v>9148.25</v>
      </c>
      <c r="H14" s="43">
        <v>1</v>
      </c>
      <c r="I14" s="42">
        <v>0</v>
      </c>
      <c r="J14" s="42">
        <v>0</v>
      </c>
      <c r="K14" s="42">
        <v>0</v>
      </c>
      <c r="L14" s="42">
        <v>1</v>
      </c>
    </row>
    <row r="15" ht="14.25" customHeight="1">
      <c r="A15" s="42" t="s">
        <v>15</v>
      </c>
      <c r="B15" s="43" t="s">
        <v>37</v>
      </c>
      <c r="C15" s="43">
        <v>0</v>
      </c>
      <c r="D15" s="43">
        <v>4</v>
      </c>
      <c r="E15" s="44">
        <v>-70.985514688999999</v>
      </c>
      <c r="F15" s="44">
        <v>-33.679107158999997</v>
      </c>
      <c r="G15" s="45">
        <v>10168.530000000001</v>
      </c>
      <c r="H15" s="43">
        <v>1</v>
      </c>
      <c r="I15" s="42">
        <v>0</v>
      </c>
      <c r="J15" s="42">
        <v>0</v>
      </c>
      <c r="K15" s="42">
        <v>0</v>
      </c>
      <c r="L15" s="42">
        <v>1</v>
      </c>
    </row>
    <row r="16" ht="14.25" customHeight="1">
      <c r="A16" s="42" t="s">
        <v>15</v>
      </c>
      <c r="B16" s="43" t="s">
        <v>37</v>
      </c>
      <c r="C16" s="43">
        <v>0</v>
      </c>
      <c r="D16" s="43">
        <v>5</v>
      </c>
      <c r="E16" s="44">
        <v>-70.956642762999905</v>
      </c>
      <c r="F16" s="44">
        <v>-33.678996325999897</v>
      </c>
      <c r="G16" s="45">
        <v>14168.25</v>
      </c>
      <c r="H16" s="43">
        <v>1</v>
      </c>
      <c r="I16" s="42">
        <v>0</v>
      </c>
      <c r="J16" s="42">
        <v>0</v>
      </c>
      <c r="K16" s="42">
        <v>0</v>
      </c>
      <c r="L16" s="42">
        <v>1</v>
      </c>
    </row>
    <row r="17" ht="14.25" customHeight="1">
      <c r="A17" s="42" t="s">
        <v>15</v>
      </c>
      <c r="B17" s="43" t="s">
        <v>37</v>
      </c>
      <c r="C17" s="43">
        <v>0</v>
      </c>
      <c r="D17" s="43">
        <v>6</v>
      </c>
      <c r="E17" s="44">
        <v>-70.936666189999997</v>
      </c>
      <c r="F17" s="44">
        <v>-33.667723980999902</v>
      </c>
      <c r="G17" s="45">
        <v>16434.939999999999</v>
      </c>
      <c r="H17" s="43">
        <v>1</v>
      </c>
      <c r="I17" s="42">
        <v>0</v>
      </c>
      <c r="J17" s="42">
        <v>0</v>
      </c>
      <c r="K17" s="42">
        <v>0</v>
      </c>
      <c r="L17" s="42">
        <v>1</v>
      </c>
    </row>
    <row r="18" ht="14.25" customHeight="1">
      <c r="A18" s="42" t="s">
        <v>15</v>
      </c>
      <c r="B18" s="43" t="s">
        <v>37</v>
      </c>
      <c r="C18" s="43">
        <v>0</v>
      </c>
      <c r="D18" s="43">
        <v>7</v>
      </c>
      <c r="E18" s="44">
        <v>-70.929971214000005</v>
      </c>
      <c r="F18" s="44">
        <v>-33.665605528999997</v>
      </c>
      <c r="G18" s="45">
        <v>17226.790000000001</v>
      </c>
      <c r="H18" s="43">
        <v>1</v>
      </c>
      <c r="I18" s="42">
        <v>0</v>
      </c>
      <c r="J18" s="42">
        <v>0</v>
      </c>
      <c r="K18" s="42">
        <v>0</v>
      </c>
      <c r="L18" s="42">
        <v>1</v>
      </c>
    </row>
    <row r="19" ht="14.25" customHeight="1">
      <c r="A19" s="42" t="s">
        <v>15</v>
      </c>
      <c r="B19" s="43" t="s">
        <v>37</v>
      </c>
      <c r="C19" s="43">
        <v>0</v>
      </c>
      <c r="D19" s="43">
        <v>8</v>
      </c>
      <c r="E19" s="44">
        <v>-70.926096553999997</v>
      </c>
      <c r="F19" s="44">
        <v>-33.664013458999896</v>
      </c>
      <c r="G19" s="45">
        <v>17627.27</v>
      </c>
      <c r="H19" s="43">
        <v>1</v>
      </c>
      <c r="I19" s="42">
        <v>0</v>
      </c>
      <c r="J19" s="42">
        <v>0</v>
      </c>
      <c r="K19" s="42">
        <v>0</v>
      </c>
      <c r="L19" s="42">
        <v>1</v>
      </c>
    </row>
    <row r="20" ht="14.25" customHeight="1">
      <c r="A20" s="42" t="s">
        <v>15</v>
      </c>
      <c r="B20" s="43" t="s">
        <v>37</v>
      </c>
      <c r="C20" s="43">
        <v>0</v>
      </c>
      <c r="D20" s="43">
        <v>9</v>
      </c>
      <c r="E20" s="44">
        <v>-70.910904776999999</v>
      </c>
      <c r="F20" s="44">
        <v>-33.656884370999897</v>
      </c>
      <c r="G20" s="45">
        <v>19348.639999999999</v>
      </c>
      <c r="H20" s="43">
        <v>1</v>
      </c>
      <c r="I20" s="42">
        <v>0</v>
      </c>
      <c r="J20" s="42">
        <v>0</v>
      </c>
      <c r="K20" s="42">
        <v>0</v>
      </c>
      <c r="L20" s="42">
        <v>1</v>
      </c>
    </row>
    <row r="21" ht="14.25" customHeight="1">
      <c r="A21" s="42" t="s">
        <v>15</v>
      </c>
      <c r="B21" s="43" t="s">
        <v>37</v>
      </c>
      <c r="C21" s="43">
        <v>0</v>
      </c>
      <c r="D21" s="43">
        <v>10</v>
      </c>
      <c r="E21" s="44">
        <v>-70.877545268000006</v>
      </c>
      <c r="F21" s="44">
        <v>-33.636444427999997</v>
      </c>
      <c r="G21" s="45">
        <v>23383.369999999999</v>
      </c>
      <c r="H21" s="43">
        <v>1</v>
      </c>
      <c r="I21" s="42">
        <v>0</v>
      </c>
      <c r="J21" s="42">
        <v>0</v>
      </c>
      <c r="K21" s="42">
        <v>0</v>
      </c>
      <c r="L21" s="42">
        <v>1</v>
      </c>
    </row>
    <row r="22" ht="14.25" customHeight="1">
      <c r="A22" s="42" t="s">
        <v>15</v>
      </c>
      <c r="B22" s="43" t="s">
        <v>37</v>
      </c>
      <c r="C22" s="43">
        <v>0</v>
      </c>
      <c r="D22" s="43">
        <v>11</v>
      </c>
      <c r="E22" s="44">
        <v>-70.867750799000007</v>
      </c>
      <c r="F22" s="44">
        <v>-33.623464065</v>
      </c>
      <c r="G22" s="45">
        <v>25085.959999999999</v>
      </c>
      <c r="H22" s="43">
        <v>1</v>
      </c>
      <c r="I22" s="42">
        <v>0</v>
      </c>
      <c r="J22" s="42">
        <v>0</v>
      </c>
      <c r="K22" s="42">
        <v>0</v>
      </c>
      <c r="L22" s="42">
        <v>1</v>
      </c>
    </row>
    <row r="23" ht="14.25" customHeight="1">
      <c r="A23" s="42" t="s">
        <v>15</v>
      </c>
      <c r="B23" s="43" t="s">
        <v>37</v>
      </c>
      <c r="C23" s="43">
        <v>0</v>
      </c>
      <c r="D23" s="43">
        <v>12</v>
      </c>
      <c r="E23" s="44">
        <v>-70.831909800000005</v>
      </c>
      <c r="F23" s="44">
        <v>-33.583648599999897</v>
      </c>
      <c r="G23" s="45">
        <v>31138.07</v>
      </c>
      <c r="H23" s="43">
        <v>1</v>
      </c>
      <c r="I23" s="42">
        <v>0</v>
      </c>
      <c r="J23" s="42">
        <v>0</v>
      </c>
      <c r="K23" s="42">
        <v>0</v>
      </c>
      <c r="L23" s="42">
        <v>1</v>
      </c>
    </row>
    <row r="24" ht="14.25" customHeight="1">
      <c r="A24" s="42" t="s">
        <v>15</v>
      </c>
      <c r="B24" s="43" t="s">
        <v>37</v>
      </c>
      <c r="C24" s="43">
        <v>0</v>
      </c>
      <c r="D24" s="43">
        <v>13</v>
      </c>
      <c r="E24" s="44">
        <v>-70.805442749999898</v>
      </c>
      <c r="F24" s="44">
        <v>-33.561581050999997</v>
      </c>
      <c r="G24" s="45">
        <v>34635.040000000001</v>
      </c>
      <c r="H24" s="43">
        <v>1</v>
      </c>
      <c r="I24" s="42">
        <v>0</v>
      </c>
      <c r="J24" s="42">
        <v>0</v>
      </c>
      <c r="K24" s="42">
        <v>0</v>
      </c>
      <c r="L24" s="42">
        <v>1</v>
      </c>
    </row>
    <row r="25" ht="14.25" customHeight="1">
      <c r="A25" s="42" t="s">
        <v>15</v>
      </c>
      <c r="B25" s="43" t="s">
        <v>37</v>
      </c>
      <c r="C25" s="43">
        <v>0</v>
      </c>
      <c r="D25" s="43">
        <v>14</v>
      </c>
      <c r="E25" s="44">
        <v>-70.784025600000007</v>
      </c>
      <c r="F25" s="44">
        <v>-33.546041799999998</v>
      </c>
      <c r="G25" s="45">
        <v>37268.330000000002</v>
      </c>
      <c r="H25" s="43">
        <v>1</v>
      </c>
      <c r="I25" s="42">
        <v>0</v>
      </c>
      <c r="J25" s="42">
        <v>0</v>
      </c>
      <c r="K25" s="42">
        <v>0</v>
      </c>
      <c r="L25" s="42">
        <v>1</v>
      </c>
    </row>
    <row r="26" ht="14.25" customHeight="1">
      <c r="A26" s="42" t="s">
        <v>15</v>
      </c>
      <c r="B26" s="43" t="s">
        <v>37</v>
      </c>
      <c r="C26" s="43">
        <v>0</v>
      </c>
      <c r="D26" s="43">
        <v>15</v>
      </c>
      <c r="E26" s="44">
        <v>-70.762707300000002</v>
      </c>
      <c r="F26" s="44">
        <v>-33.531490599999998</v>
      </c>
      <c r="G26" s="45">
        <v>39822.849999999999</v>
      </c>
      <c r="H26" s="43">
        <v>1</v>
      </c>
      <c r="I26" s="42">
        <v>0</v>
      </c>
      <c r="J26" s="42">
        <v>0</v>
      </c>
      <c r="K26" s="42">
        <v>0</v>
      </c>
      <c r="L26" s="42">
        <v>1</v>
      </c>
    </row>
    <row r="27" ht="14.25" customHeight="1">
      <c r="A27" s="42" t="s">
        <v>15</v>
      </c>
      <c r="B27" s="43" t="s">
        <v>37</v>
      </c>
      <c r="C27" s="43">
        <v>0</v>
      </c>
      <c r="D27" s="43">
        <v>16</v>
      </c>
      <c r="E27" s="44">
        <v>-70.743000600000002</v>
      </c>
      <c r="F27" s="44">
        <v>-33.520023899999998</v>
      </c>
      <c r="G27" s="45">
        <v>42054.75</v>
      </c>
      <c r="H27" s="43">
        <v>1</v>
      </c>
      <c r="I27" s="42">
        <v>0</v>
      </c>
      <c r="J27" s="42">
        <v>0</v>
      </c>
      <c r="K27" s="42">
        <v>0</v>
      </c>
      <c r="L27" s="42">
        <v>1</v>
      </c>
    </row>
    <row r="28" ht="14.25" customHeight="1">
      <c r="A28" s="42" t="s">
        <v>15</v>
      </c>
      <c r="B28" s="43" t="s">
        <v>37</v>
      </c>
      <c r="C28" s="43">
        <v>0</v>
      </c>
      <c r="D28" s="43">
        <v>17</v>
      </c>
      <c r="E28" s="44">
        <v>-70.708622305000006</v>
      </c>
      <c r="F28" s="44">
        <v>-33.499481488000001</v>
      </c>
      <c r="G28" s="45">
        <v>46072.309999999998</v>
      </c>
      <c r="H28" s="43">
        <v>1</v>
      </c>
      <c r="I28" s="42">
        <v>0</v>
      </c>
      <c r="J28" s="42">
        <v>0</v>
      </c>
      <c r="K28" s="42">
        <v>0</v>
      </c>
      <c r="L28" s="42">
        <v>1</v>
      </c>
    </row>
    <row r="29" ht="14.25" customHeight="1">
      <c r="A29" s="42" t="s">
        <v>15</v>
      </c>
      <c r="B29" s="43" t="s">
        <v>37</v>
      </c>
      <c r="C29" s="43">
        <v>0</v>
      </c>
      <c r="D29" s="43">
        <v>18</v>
      </c>
      <c r="E29" s="44">
        <v>-70.684428658999906</v>
      </c>
      <c r="F29" s="44">
        <v>-33.465644343999898</v>
      </c>
      <c r="G29" s="45">
        <v>51363.279999999999</v>
      </c>
      <c r="H29" s="43">
        <v>1</v>
      </c>
      <c r="I29" s="42">
        <v>0</v>
      </c>
      <c r="J29" s="42">
        <v>0</v>
      </c>
      <c r="K29" s="42">
        <v>0</v>
      </c>
      <c r="L29" s="42">
        <v>1</v>
      </c>
    </row>
    <row r="30" ht="14.25" customHeight="1">
      <c r="A30" s="42" t="s">
        <v>15</v>
      </c>
      <c r="B30" s="43" t="s">
        <v>37</v>
      </c>
      <c r="C30" s="43">
        <v>0</v>
      </c>
      <c r="D30" s="43">
        <v>19</v>
      </c>
      <c r="E30" s="44">
        <v>-70.682891850000004</v>
      </c>
      <c r="F30" s="44">
        <v>-33.455067299999897</v>
      </c>
      <c r="G30" s="45">
        <v>52600.029999999999</v>
      </c>
      <c r="H30" s="43">
        <v>1</v>
      </c>
      <c r="I30" s="42">
        <v>1</v>
      </c>
      <c r="J30" s="42">
        <v>0</v>
      </c>
      <c r="K30" s="42">
        <v>0.10000000000000001</v>
      </c>
      <c r="L30" s="42">
        <v>1</v>
      </c>
    </row>
    <row r="31" ht="14.25" customHeight="1">
      <c r="A31" s="42" t="s">
        <v>15</v>
      </c>
      <c r="B31" s="43" t="s">
        <v>37</v>
      </c>
      <c r="C31" s="43">
        <v>1</v>
      </c>
      <c r="D31" s="43">
        <v>1</v>
      </c>
      <c r="E31" s="44">
        <v>-70.680761743000005</v>
      </c>
      <c r="F31" s="44">
        <v>-33.458194553999903</v>
      </c>
      <c r="G31" s="45">
        <v>168.27000000000001</v>
      </c>
      <c r="H31" s="43">
        <v>1</v>
      </c>
      <c r="I31" s="42">
        <v>1</v>
      </c>
      <c r="J31" s="42">
        <v>1</v>
      </c>
      <c r="K31" s="42">
        <v>0.80000000000000004</v>
      </c>
      <c r="L31" s="42">
        <v>1</v>
      </c>
    </row>
    <row r="32" ht="14.25" customHeight="1">
      <c r="A32" s="42" t="s">
        <v>15</v>
      </c>
      <c r="B32" s="43" t="s">
        <v>37</v>
      </c>
      <c r="C32" s="43">
        <v>1</v>
      </c>
      <c r="D32" s="43">
        <v>2</v>
      </c>
      <c r="E32" s="44">
        <v>-70.686580961000004</v>
      </c>
      <c r="F32" s="44">
        <v>-33.474663222999901</v>
      </c>
      <c r="G32" s="45">
        <v>2358.9099999999999</v>
      </c>
      <c r="H32" s="43">
        <v>1</v>
      </c>
      <c r="I32" s="42">
        <v>1</v>
      </c>
      <c r="J32" s="42">
        <v>0</v>
      </c>
      <c r="K32" s="42">
        <v>0.10000000000000001</v>
      </c>
      <c r="L32" s="42">
        <v>1</v>
      </c>
    </row>
    <row r="33" ht="14.25" customHeight="1">
      <c r="A33" s="42" t="s">
        <v>15</v>
      </c>
      <c r="B33" s="43" t="s">
        <v>37</v>
      </c>
      <c r="C33" s="43">
        <v>1</v>
      </c>
      <c r="D33" s="43">
        <v>3</v>
      </c>
      <c r="E33" s="44">
        <v>-70.708970699999995</v>
      </c>
      <c r="F33" s="44">
        <v>-33.499393400000002</v>
      </c>
      <c r="G33" s="45">
        <v>5816.5200000000004</v>
      </c>
      <c r="H33" s="43">
        <v>1</v>
      </c>
      <c r="I33" s="42">
        <v>0</v>
      </c>
      <c r="J33" s="42">
        <v>0</v>
      </c>
      <c r="K33" s="42">
        <v>0</v>
      </c>
      <c r="L33" s="42">
        <v>1</v>
      </c>
    </row>
    <row r="34" ht="14.25" customHeight="1">
      <c r="A34" s="42" t="s">
        <v>15</v>
      </c>
      <c r="B34" s="43" t="s">
        <v>37</v>
      </c>
      <c r="C34" s="43">
        <v>1</v>
      </c>
      <c r="D34" s="43">
        <v>4</v>
      </c>
      <c r="E34" s="44">
        <v>-70.743080268</v>
      </c>
      <c r="F34" s="44">
        <v>-33.519888073999901</v>
      </c>
      <c r="G34" s="45">
        <v>9806.3099999999995</v>
      </c>
      <c r="H34" s="43">
        <v>1</v>
      </c>
      <c r="I34" s="42">
        <v>0</v>
      </c>
      <c r="J34" s="42">
        <v>0</v>
      </c>
      <c r="K34" s="42">
        <v>0</v>
      </c>
      <c r="L34" s="42">
        <v>1</v>
      </c>
    </row>
    <row r="35" ht="14.25" customHeight="1">
      <c r="A35" s="42" t="s">
        <v>15</v>
      </c>
      <c r="B35" s="43" t="s">
        <v>37</v>
      </c>
      <c r="C35" s="43">
        <v>1</v>
      </c>
      <c r="D35" s="43">
        <v>5</v>
      </c>
      <c r="E35" s="44">
        <v>-70.763091212000006</v>
      </c>
      <c r="F35" s="44">
        <v>-33.531550084000003</v>
      </c>
      <c r="G35" s="45">
        <v>12073.49</v>
      </c>
      <c r="H35" s="43">
        <v>1</v>
      </c>
      <c r="I35" s="42">
        <v>0</v>
      </c>
      <c r="J35" s="42">
        <v>0</v>
      </c>
      <c r="K35" s="42">
        <v>0</v>
      </c>
      <c r="L35" s="42">
        <v>1</v>
      </c>
    </row>
    <row r="36" ht="14.25" customHeight="1">
      <c r="A36" s="42" t="s">
        <v>15</v>
      </c>
      <c r="B36" s="43" t="s">
        <v>37</v>
      </c>
      <c r="C36" s="43">
        <v>1</v>
      </c>
      <c r="D36" s="43">
        <v>6</v>
      </c>
      <c r="E36" s="44">
        <v>-70.784168695999895</v>
      </c>
      <c r="F36" s="44">
        <v>-33.545959109999998</v>
      </c>
      <c r="G36" s="45">
        <v>14600.68</v>
      </c>
      <c r="H36" s="43">
        <v>1</v>
      </c>
      <c r="I36" s="42">
        <v>0</v>
      </c>
      <c r="J36" s="42">
        <v>0</v>
      </c>
      <c r="K36" s="42">
        <v>0</v>
      </c>
      <c r="L36" s="42">
        <v>1</v>
      </c>
    </row>
    <row r="37" ht="14.25" customHeight="1">
      <c r="A37" s="42" t="s">
        <v>15</v>
      </c>
      <c r="B37" s="43" t="s">
        <v>37</v>
      </c>
      <c r="C37" s="43">
        <v>1</v>
      </c>
      <c r="D37" s="43">
        <v>7</v>
      </c>
      <c r="E37" s="44">
        <v>-70.806660758999996</v>
      </c>
      <c r="F37" s="44">
        <v>-33.562351538999998</v>
      </c>
      <c r="G37" s="45">
        <v>17371.59</v>
      </c>
      <c r="H37" s="43">
        <v>1</v>
      </c>
      <c r="I37" s="42">
        <v>0</v>
      </c>
      <c r="J37" s="42">
        <v>0</v>
      </c>
      <c r="K37" s="42">
        <v>0</v>
      </c>
      <c r="L37" s="42">
        <v>1</v>
      </c>
    </row>
    <row r="38" ht="14.25" customHeight="1">
      <c r="A38" s="42" t="s">
        <v>15</v>
      </c>
      <c r="B38" s="43" t="s">
        <v>37</v>
      </c>
      <c r="C38" s="43">
        <v>1</v>
      </c>
      <c r="D38" s="43">
        <v>8</v>
      </c>
      <c r="E38" s="44">
        <v>-70.832030481999894</v>
      </c>
      <c r="F38" s="44">
        <v>-33.583586421999897</v>
      </c>
      <c r="G38" s="45">
        <v>20732.18</v>
      </c>
      <c r="H38" s="43">
        <v>1</v>
      </c>
      <c r="I38" s="42">
        <v>0</v>
      </c>
      <c r="J38" s="42">
        <v>0</v>
      </c>
      <c r="K38" s="42">
        <v>0</v>
      </c>
      <c r="L38" s="42">
        <v>1</v>
      </c>
    </row>
    <row r="39" ht="14.25" customHeight="1">
      <c r="A39" s="42" t="s">
        <v>15</v>
      </c>
      <c r="B39" s="43" t="s">
        <v>37</v>
      </c>
      <c r="C39" s="43">
        <v>1</v>
      </c>
      <c r="D39" s="43">
        <v>9</v>
      </c>
      <c r="E39" s="44">
        <v>-70.867728911</v>
      </c>
      <c r="F39" s="44">
        <v>-33.623434807000002</v>
      </c>
      <c r="G39" s="45">
        <v>26285.32</v>
      </c>
      <c r="H39" s="43">
        <v>1</v>
      </c>
      <c r="I39" s="42">
        <v>0</v>
      </c>
      <c r="J39" s="42">
        <v>0</v>
      </c>
      <c r="K39" s="42">
        <v>0</v>
      </c>
      <c r="L39" s="42">
        <v>1</v>
      </c>
    </row>
    <row r="40" ht="14.25" customHeight="1">
      <c r="A40" s="42" t="s">
        <v>15</v>
      </c>
      <c r="B40" s="43" t="s">
        <v>37</v>
      </c>
      <c r="C40" s="43">
        <v>1</v>
      </c>
      <c r="D40" s="43">
        <v>10</v>
      </c>
      <c r="E40" s="44">
        <v>-70.877631149999999</v>
      </c>
      <c r="F40" s="44">
        <v>-33.636555000999998</v>
      </c>
      <c r="G40" s="45">
        <v>28006.360000000001</v>
      </c>
      <c r="H40" s="43">
        <v>1</v>
      </c>
      <c r="I40" s="42">
        <v>0</v>
      </c>
      <c r="J40" s="42">
        <v>0</v>
      </c>
      <c r="K40" s="42">
        <v>0</v>
      </c>
      <c r="L40" s="42">
        <v>1</v>
      </c>
    </row>
    <row r="41" ht="14.25" customHeight="1">
      <c r="A41" s="42" t="s">
        <v>15</v>
      </c>
      <c r="B41" s="43" t="s">
        <v>37</v>
      </c>
      <c r="C41" s="43">
        <v>1</v>
      </c>
      <c r="D41" s="43">
        <v>11</v>
      </c>
      <c r="E41" s="44">
        <v>-70.910980244000001</v>
      </c>
      <c r="F41" s="44">
        <v>-33.6569139489999</v>
      </c>
      <c r="G41" s="45">
        <v>32034.200000000001</v>
      </c>
      <c r="H41" s="43">
        <v>1</v>
      </c>
      <c r="I41" s="42">
        <v>0</v>
      </c>
      <c r="J41" s="42">
        <v>0</v>
      </c>
      <c r="K41" s="42">
        <v>0</v>
      </c>
      <c r="L41" s="42">
        <v>1</v>
      </c>
    </row>
    <row r="42" ht="14.25" customHeight="1">
      <c r="A42" s="42" t="s">
        <v>15</v>
      </c>
      <c r="B42" s="43" t="s">
        <v>37</v>
      </c>
      <c r="C42" s="43">
        <v>1</v>
      </c>
      <c r="D42" s="43">
        <v>12</v>
      </c>
      <c r="E42" s="44">
        <v>-70.925284865999998</v>
      </c>
      <c r="F42" s="44">
        <v>-33.660489841999997</v>
      </c>
      <c r="G42" s="45">
        <v>33699.5</v>
      </c>
      <c r="H42" s="43">
        <v>1</v>
      </c>
      <c r="I42" s="42">
        <v>0</v>
      </c>
      <c r="J42" s="42">
        <v>0</v>
      </c>
      <c r="K42" s="42">
        <v>0</v>
      </c>
      <c r="L42" s="42">
        <v>1</v>
      </c>
    </row>
    <row r="43" ht="14.25" customHeight="1">
      <c r="A43" s="42" t="s">
        <v>15</v>
      </c>
      <c r="B43" s="43" t="s">
        <v>37</v>
      </c>
      <c r="C43" s="43">
        <v>1</v>
      </c>
      <c r="D43" s="43">
        <v>13</v>
      </c>
      <c r="E43" s="44">
        <v>-70.931576547999995</v>
      </c>
      <c r="F43" s="44">
        <v>-33.663686818999999</v>
      </c>
      <c r="G43" s="45">
        <v>34413.709999999999</v>
      </c>
      <c r="H43" s="43">
        <v>1</v>
      </c>
      <c r="I43" s="42">
        <v>0</v>
      </c>
      <c r="J43" s="42">
        <v>0</v>
      </c>
      <c r="K43" s="42">
        <v>0</v>
      </c>
      <c r="L43" s="42">
        <v>1</v>
      </c>
    </row>
    <row r="44" ht="14.25" customHeight="1">
      <c r="A44" s="42" t="s">
        <v>15</v>
      </c>
      <c r="B44" s="43" t="s">
        <v>37</v>
      </c>
      <c r="C44" s="43">
        <v>1</v>
      </c>
      <c r="D44" s="43">
        <v>14</v>
      </c>
      <c r="E44" s="44">
        <v>-70.941789599999893</v>
      </c>
      <c r="F44" s="44">
        <v>-33.670667100000003</v>
      </c>
      <c r="G44" s="45">
        <v>35769.239999999998</v>
      </c>
      <c r="H44" s="43">
        <v>1</v>
      </c>
      <c r="I44" s="42">
        <v>0</v>
      </c>
      <c r="J44" s="42">
        <v>0</v>
      </c>
      <c r="K44" s="42">
        <v>0</v>
      </c>
      <c r="L44" s="42">
        <v>1</v>
      </c>
    </row>
    <row r="45" ht="14.25" customHeight="1">
      <c r="A45" s="42" t="s">
        <v>15</v>
      </c>
      <c r="B45" s="43" t="s">
        <v>37</v>
      </c>
      <c r="C45" s="43">
        <v>1</v>
      </c>
      <c r="D45" s="43">
        <v>15</v>
      </c>
      <c r="E45" s="44">
        <v>-70.981974149999999</v>
      </c>
      <c r="F45" s="44">
        <v>-33.677686399999999</v>
      </c>
      <c r="G45" s="45">
        <v>40924.779999999999</v>
      </c>
      <c r="H45" s="43">
        <v>1</v>
      </c>
      <c r="I45" s="42">
        <v>0</v>
      </c>
      <c r="J45" s="42">
        <v>0</v>
      </c>
      <c r="K45" s="42">
        <v>0</v>
      </c>
      <c r="L45" s="42">
        <v>1</v>
      </c>
    </row>
    <row r="46" ht="14.25" customHeight="1">
      <c r="A46" s="42" t="s">
        <v>15</v>
      </c>
      <c r="B46" s="43" t="s">
        <v>37</v>
      </c>
      <c r="C46" s="43">
        <v>1</v>
      </c>
      <c r="D46" s="43">
        <v>16</v>
      </c>
      <c r="E46" s="44">
        <v>-70.989290951000001</v>
      </c>
      <c r="F46" s="44">
        <v>-33.683358650000002</v>
      </c>
      <c r="G46" s="45">
        <v>42240.370000000003</v>
      </c>
      <c r="H46" s="43">
        <v>1</v>
      </c>
      <c r="I46" s="42">
        <v>0</v>
      </c>
      <c r="J46" s="42">
        <v>0</v>
      </c>
      <c r="K46" s="42">
        <v>0</v>
      </c>
      <c r="L46" s="42">
        <v>1</v>
      </c>
    </row>
    <row r="47" ht="14.25" customHeight="1">
      <c r="A47" s="42" t="s">
        <v>15</v>
      </c>
      <c r="B47" s="43" t="s">
        <v>37</v>
      </c>
      <c r="C47" s="43">
        <v>1</v>
      </c>
      <c r="D47" s="43">
        <v>17</v>
      </c>
      <c r="E47" s="44">
        <v>-71.006473878999898</v>
      </c>
      <c r="F47" s="44">
        <v>-33.683850871999901</v>
      </c>
      <c r="G47" s="45">
        <v>43860.519999999997</v>
      </c>
      <c r="H47" s="43">
        <v>1</v>
      </c>
      <c r="I47" s="42">
        <v>0</v>
      </c>
      <c r="J47" s="42">
        <v>0</v>
      </c>
      <c r="K47" s="42">
        <v>0</v>
      </c>
      <c r="L47" s="42">
        <v>1</v>
      </c>
    </row>
    <row r="48" ht="14.25" customHeight="1">
      <c r="A48" s="42" t="s">
        <v>15</v>
      </c>
      <c r="B48" s="43" t="s">
        <v>37</v>
      </c>
      <c r="C48" s="43">
        <v>1</v>
      </c>
      <c r="D48" s="43">
        <v>18</v>
      </c>
      <c r="E48" s="44">
        <v>-71.030930655999995</v>
      </c>
      <c r="F48" s="44">
        <v>-33.687488992999903</v>
      </c>
      <c r="G48" s="45">
        <v>46170.599999999999</v>
      </c>
      <c r="H48" s="43">
        <v>1</v>
      </c>
      <c r="I48" s="42">
        <v>1</v>
      </c>
      <c r="J48" s="42">
        <v>0</v>
      </c>
      <c r="K48" s="42">
        <v>0.10000000000000001</v>
      </c>
      <c r="L48" s="42">
        <v>1</v>
      </c>
    </row>
    <row r="49" ht="14.25" customHeight="1">
      <c r="A49" s="42" t="s">
        <v>15</v>
      </c>
      <c r="B49" s="43" t="s">
        <v>42</v>
      </c>
      <c r="C49" s="43">
        <v>1</v>
      </c>
      <c r="D49" s="43">
        <v>1</v>
      </c>
      <c r="E49" s="44">
        <v>-70.680765655000002</v>
      </c>
      <c r="F49" s="44">
        <v>-33.458256585999997</v>
      </c>
      <c r="G49" s="45">
        <v>175.16</v>
      </c>
      <c r="H49" s="43">
        <v>1</v>
      </c>
      <c r="I49" s="42">
        <v>1</v>
      </c>
      <c r="J49" s="42">
        <v>0</v>
      </c>
      <c r="K49" s="42">
        <v>0.80000000000000004</v>
      </c>
      <c r="L49" s="42">
        <v>1</v>
      </c>
    </row>
    <row r="50" ht="14.25" customHeight="1">
      <c r="A50" s="42" t="s">
        <v>15</v>
      </c>
      <c r="B50" s="43" t="s">
        <v>42</v>
      </c>
      <c r="C50" s="43">
        <v>1</v>
      </c>
      <c r="D50" s="43">
        <v>2</v>
      </c>
      <c r="E50" s="44">
        <v>-70.686596303000002</v>
      </c>
      <c r="F50" s="44">
        <v>-33.474674602999997</v>
      </c>
      <c r="G50" s="45">
        <v>2360.8600000000001</v>
      </c>
      <c r="H50" s="43">
        <v>1</v>
      </c>
      <c r="I50" s="42">
        <v>1</v>
      </c>
      <c r="J50" s="42">
        <v>0</v>
      </c>
      <c r="K50" s="42">
        <v>0.10000000000000001</v>
      </c>
      <c r="L50" s="42">
        <v>1</v>
      </c>
    </row>
    <row r="51" ht="14.25" customHeight="1">
      <c r="A51" s="42" t="s">
        <v>15</v>
      </c>
      <c r="B51" s="43" t="s">
        <v>42</v>
      </c>
      <c r="C51" s="43">
        <v>1</v>
      </c>
      <c r="D51" s="43">
        <v>3</v>
      </c>
      <c r="E51" s="44">
        <v>-70.708989955999996</v>
      </c>
      <c r="F51" s="44">
        <v>-33.499419271000001</v>
      </c>
      <c r="G51" s="45">
        <v>5820.0200000000004</v>
      </c>
      <c r="H51" s="43">
        <v>1</v>
      </c>
      <c r="I51" s="42">
        <v>0</v>
      </c>
      <c r="J51" s="42">
        <v>0</v>
      </c>
      <c r="K51" s="42">
        <v>0</v>
      </c>
      <c r="L51" s="42">
        <v>1</v>
      </c>
    </row>
    <row r="52" ht="14.25" customHeight="1">
      <c r="A52" s="42" t="s">
        <v>15</v>
      </c>
      <c r="B52" s="43" t="s">
        <v>42</v>
      </c>
      <c r="C52" s="43">
        <v>1</v>
      </c>
      <c r="D52" s="43">
        <v>4</v>
      </c>
      <c r="E52" s="44">
        <v>-70.743394050999896</v>
      </c>
      <c r="F52" s="44">
        <v>-33.520059353000001</v>
      </c>
      <c r="G52" s="45">
        <v>9841.2999999999993</v>
      </c>
      <c r="H52" s="43">
        <v>1</v>
      </c>
      <c r="I52" s="42">
        <v>0</v>
      </c>
      <c r="J52" s="42">
        <v>0</v>
      </c>
      <c r="K52" s="42">
        <v>0</v>
      </c>
      <c r="L52" s="42">
        <v>1</v>
      </c>
    </row>
    <row r="53" ht="14.25" customHeight="1">
      <c r="A53" s="42" t="s">
        <v>15</v>
      </c>
      <c r="B53" s="43" t="s">
        <v>42</v>
      </c>
      <c r="C53" s="43">
        <v>1</v>
      </c>
      <c r="D53" s="43">
        <v>5</v>
      </c>
      <c r="E53" s="44">
        <v>-70.763178056000001</v>
      </c>
      <c r="F53" s="44">
        <v>-33.531607878999999</v>
      </c>
      <c r="G53" s="45">
        <v>12084.040000000001</v>
      </c>
      <c r="H53" s="43">
        <v>1</v>
      </c>
      <c r="I53" s="42">
        <v>0</v>
      </c>
      <c r="J53" s="42">
        <v>0</v>
      </c>
      <c r="K53" s="42">
        <v>0</v>
      </c>
      <c r="L53" s="42">
        <v>1</v>
      </c>
    </row>
    <row r="54" ht="14.25" customHeight="1">
      <c r="A54" s="42" t="s">
        <v>15</v>
      </c>
      <c r="B54" s="43" t="s">
        <v>42</v>
      </c>
      <c r="C54" s="43">
        <v>1</v>
      </c>
      <c r="D54" s="43">
        <v>6</v>
      </c>
      <c r="E54" s="44">
        <v>-70.784418250000002</v>
      </c>
      <c r="F54" s="44">
        <v>-33.546129199999903</v>
      </c>
      <c r="G54" s="45">
        <v>14630.860000000001</v>
      </c>
      <c r="H54" s="43">
        <v>1</v>
      </c>
      <c r="I54" s="42">
        <v>0</v>
      </c>
      <c r="J54" s="42">
        <v>0</v>
      </c>
      <c r="K54" s="42">
        <v>0</v>
      </c>
      <c r="L54" s="42">
        <v>1</v>
      </c>
    </row>
    <row r="55" ht="14.25" customHeight="1">
      <c r="A55" s="42" t="s">
        <v>15</v>
      </c>
      <c r="B55" s="43" t="s">
        <v>42</v>
      </c>
      <c r="C55" s="43">
        <v>1</v>
      </c>
      <c r="D55" s="43">
        <v>7</v>
      </c>
      <c r="E55" s="44">
        <v>-70.806564129999998</v>
      </c>
      <c r="F55" s="44">
        <v>-33.562274846000001</v>
      </c>
      <c r="G55" s="45">
        <v>17359.580000000002</v>
      </c>
      <c r="H55" s="43">
        <v>1</v>
      </c>
      <c r="I55" s="42">
        <v>0</v>
      </c>
      <c r="J55" s="42">
        <v>0</v>
      </c>
      <c r="K55" s="42">
        <v>0</v>
      </c>
      <c r="L55" s="42">
        <v>1</v>
      </c>
    </row>
    <row r="56" ht="14.25" customHeight="1">
      <c r="A56" s="42" t="s">
        <v>15</v>
      </c>
      <c r="B56" s="43" t="s">
        <v>42</v>
      </c>
      <c r="C56" s="43">
        <v>1</v>
      </c>
      <c r="D56" s="43">
        <v>8</v>
      </c>
      <c r="E56" s="44">
        <v>-70.832211047000001</v>
      </c>
      <c r="F56" s="44">
        <v>-33.583718830999899</v>
      </c>
      <c r="G56" s="45">
        <v>20754.889999999999</v>
      </c>
      <c r="H56" s="43">
        <v>1</v>
      </c>
      <c r="I56" s="42">
        <v>0</v>
      </c>
      <c r="J56" s="42">
        <v>0</v>
      </c>
      <c r="K56" s="42">
        <v>0</v>
      </c>
      <c r="L56" s="42">
        <v>1</v>
      </c>
    </row>
    <row r="57" ht="14.25" customHeight="1">
      <c r="A57" s="42" t="s">
        <v>15</v>
      </c>
      <c r="B57" s="43" t="s">
        <v>42</v>
      </c>
      <c r="C57" s="43">
        <v>1</v>
      </c>
      <c r="D57" s="43">
        <v>9</v>
      </c>
      <c r="E57" s="44">
        <v>-70.867951767999998</v>
      </c>
      <c r="F57" s="44">
        <v>-33.623732703999998</v>
      </c>
      <c r="G57" s="45">
        <v>26324.830000000002</v>
      </c>
      <c r="H57" s="43">
        <v>1</v>
      </c>
      <c r="I57" s="42">
        <v>0</v>
      </c>
      <c r="J57" s="42">
        <v>0</v>
      </c>
      <c r="K57" s="42">
        <v>0</v>
      </c>
      <c r="L57" s="42">
        <v>1</v>
      </c>
    </row>
    <row r="58" ht="14.25" customHeight="1">
      <c r="A58" s="42" t="s">
        <v>15</v>
      </c>
      <c r="B58" s="43" t="s">
        <v>42</v>
      </c>
      <c r="C58" s="43">
        <v>1</v>
      </c>
      <c r="D58" s="43">
        <v>10</v>
      </c>
      <c r="E58" s="44">
        <v>-70.877882799999995</v>
      </c>
      <c r="F58" s="44">
        <v>-33.636879</v>
      </c>
      <c r="G58" s="45">
        <v>28049.790000000001</v>
      </c>
      <c r="H58" s="43">
        <v>1</v>
      </c>
      <c r="I58" s="42">
        <v>0</v>
      </c>
      <c r="J58" s="42">
        <v>0</v>
      </c>
      <c r="K58" s="42">
        <v>0</v>
      </c>
      <c r="L58" s="42">
        <v>1</v>
      </c>
    </row>
    <row r="59" ht="14.25" customHeight="1">
      <c r="A59" s="42" t="s">
        <v>15</v>
      </c>
      <c r="B59" s="43" t="s">
        <v>42</v>
      </c>
      <c r="C59" s="43">
        <v>1</v>
      </c>
      <c r="D59" s="43">
        <v>11</v>
      </c>
      <c r="E59" s="44">
        <v>-70.911745793999998</v>
      </c>
      <c r="F59" s="44">
        <v>-33.657213992999999</v>
      </c>
      <c r="G59" s="45">
        <v>32113.27</v>
      </c>
      <c r="H59" s="43">
        <v>1</v>
      </c>
      <c r="I59" s="42">
        <v>0</v>
      </c>
      <c r="J59" s="42">
        <v>0</v>
      </c>
      <c r="K59" s="42">
        <v>0</v>
      </c>
      <c r="L59" s="42">
        <v>1</v>
      </c>
    </row>
    <row r="60" ht="14.25" customHeight="1">
      <c r="A60" s="42" t="s">
        <v>15</v>
      </c>
      <c r="B60" s="43" t="s">
        <v>42</v>
      </c>
      <c r="C60" s="43">
        <v>1</v>
      </c>
      <c r="D60" s="43">
        <v>12</v>
      </c>
      <c r="E60" s="44">
        <v>-70.925352190999902</v>
      </c>
      <c r="F60" s="44">
        <v>-33.660614741000003</v>
      </c>
      <c r="G60" s="45">
        <v>33715.379999999997</v>
      </c>
      <c r="H60" s="43">
        <v>1</v>
      </c>
      <c r="I60" s="42">
        <v>0</v>
      </c>
      <c r="J60" s="42">
        <v>0</v>
      </c>
      <c r="K60" s="42">
        <v>0</v>
      </c>
      <c r="L60" s="42">
        <v>1</v>
      </c>
    </row>
    <row r="61" ht="14.25" customHeight="1">
      <c r="A61" s="42" t="s">
        <v>15</v>
      </c>
      <c r="B61" s="43" t="s">
        <v>42</v>
      </c>
      <c r="C61" s="43">
        <v>1</v>
      </c>
      <c r="D61" s="43">
        <v>13</v>
      </c>
      <c r="E61" s="44">
        <v>-70.931942499999906</v>
      </c>
      <c r="F61" s="44">
        <v>-33.663821499999997</v>
      </c>
      <c r="G61" s="45">
        <v>34451.5</v>
      </c>
      <c r="H61" s="43">
        <v>1</v>
      </c>
      <c r="I61" s="42">
        <v>0</v>
      </c>
      <c r="J61" s="42">
        <v>0</v>
      </c>
      <c r="K61" s="42">
        <v>0</v>
      </c>
      <c r="L61" s="42">
        <v>1</v>
      </c>
    </row>
    <row r="62" ht="14.25" customHeight="1">
      <c r="A62" s="42" t="s">
        <v>15</v>
      </c>
      <c r="B62" s="43" t="s">
        <v>42</v>
      </c>
      <c r="C62" s="43">
        <v>1</v>
      </c>
      <c r="D62" s="43">
        <v>14</v>
      </c>
      <c r="E62" s="44">
        <v>-70.940293100000005</v>
      </c>
      <c r="F62" s="44">
        <v>-33.670016500000003</v>
      </c>
      <c r="G62" s="45">
        <v>35613.540000000001</v>
      </c>
      <c r="H62" s="43">
        <v>1</v>
      </c>
      <c r="I62" s="42">
        <v>0</v>
      </c>
      <c r="J62" s="42">
        <v>0</v>
      </c>
      <c r="K62" s="42">
        <v>0</v>
      </c>
      <c r="L62" s="42">
        <v>1</v>
      </c>
    </row>
    <row r="63" ht="14.25" customHeight="1">
      <c r="A63" s="42" t="s">
        <v>15</v>
      </c>
      <c r="B63" s="43" t="s">
        <v>42</v>
      </c>
      <c r="C63" s="43">
        <v>1</v>
      </c>
      <c r="D63" s="43">
        <v>15</v>
      </c>
      <c r="E63" s="44">
        <v>-70.949542500000007</v>
      </c>
      <c r="F63" s="44">
        <v>-33.674000999999997</v>
      </c>
      <c r="G63" s="45">
        <v>36580.919999999998</v>
      </c>
      <c r="H63" s="43">
        <v>1</v>
      </c>
      <c r="I63" s="42">
        <v>1</v>
      </c>
      <c r="J63" s="42">
        <v>0</v>
      </c>
      <c r="K63" s="42">
        <v>0.10000000000000001</v>
      </c>
      <c r="L63" s="42">
        <v>1</v>
      </c>
    </row>
    <row r="64" ht="14.25" customHeight="1">
      <c r="A64" s="42" t="s">
        <v>15</v>
      </c>
      <c r="B64" s="43" t="s">
        <v>44</v>
      </c>
      <c r="C64" s="43">
        <v>0</v>
      </c>
      <c r="D64" s="43">
        <v>1</v>
      </c>
      <c r="E64" s="44">
        <v>-70.946081092</v>
      </c>
      <c r="F64" s="44">
        <v>-33.672534788</v>
      </c>
      <c r="G64" s="45">
        <v>608.02999999999997</v>
      </c>
      <c r="H64" s="43">
        <v>1</v>
      </c>
      <c r="I64" s="42">
        <v>1</v>
      </c>
      <c r="J64" s="42">
        <v>1</v>
      </c>
      <c r="K64" s="42">
        <v>0.80000000000000004</v>
      </c>
      <c r="L64" s="42">
        <v>1</v>
      </c>
    </row>
    <row r="65" ht="14.25" customHeight="1">
      <c r="A65" s="42" t="s">
        <v>15</v>
      </c>
      <c r="B65" s="43" t="s">
        <v>44</v>
      </c>
      <c r="C65" s="43">
        <v>0</v>
      </c>
      <c r="D65" s="43">
        <v>2</v>
      </c>
      <c r="E65" s="44">
        <v>-70.927536200000006</v>
      </c>
      <c r="F65" s="44">
        <v>-33.664622399999999</v>
      </c>
      <c r="G65" s="45">
        <v>2685.73</v>
      </c>
      <c r="H65" s="43">
        <v>1</v>
      </c>
      <c r="I65" s="42">
        <v>1</v>
      </c>
      <c r="J65" s="42">
        <v>0</v>
      </c>
      <c r="K65" s="42">
        <v>0.10000000000000001</v>
      </c>
      <c r="L65" s="42">
        <v>1</v>
      </c>
    </row>
    <row r="66" ht="14.25" customHeight="1">
      <c r="A66" s="42" t="s">
        <v>15</v>
      </c>
      <c r="B66" s="43" t="s">
        <v>44</v>
      </c>
      <c r="C66" s="43">
        <v>0</v>
      </c>
      <c r="D66" s="43">
        <v>3</v>
      </c>
      <c r="E66" s="44">
        <v>-70.922638141999997</v>
      </c>
      <c r="F66" s="44">
        <v>-33.655614972000002</v>
      </c>
      <c r="G66" s="45">
        <v>4519</v>
      </c>
      <c r="H66" s="43">
        <v>1</v>
      </c>
      <c r="I66" s="42">
        <v>0</v>
      </c>
      <c r="J66" s="42">
        <v>0</v>
      </c>
      <c r="K66" s="42">
        <v>0</v>
      </c>
      <c r="L66" s="42">
        <v>1</v>
      </c>
    </row>
    <row r="67" ht="14.25" customHeight="1">
      <c r="A67" s="42" t="s">
        <v>15</v>
      </c>
      <c r="B67" s="43" t="s">
        <v>44</v>
      </c>
      <c r="C67" s="43">
        <v>0</v>
      </c>
      <c r="D67" s="43">
        <v>4</v>
      </c>
      <c r="E67" s="44">
        <v>-70.912977643000005</v>
      </c>
      <c r="F67" s="44">
        <v>-33.638810697999901</v>
      </c>
      <c r="G67" s="45">
        <v>6591.4399999999996</v>
      </c>
      <c r="H67" s="43">
        <v>1</v>
      </c>
      <c r="I67" s="42">
        <v>0</v>
      </c>
      <c r="J67" s="42">
        <v>0</v>
      </c>
      <c r="K67" s="42">
        <v>0</v>
      </c>
      <c r="L67" s="42">
        <v>1</v>
      </c>
    </row>
    <row r="68" ht="14.25" customHeight="1">
      <c r="A68" s="42" t="s">
        <v>15</v>
      </c>
      <c r="B68" s="43" t="s">
        <v>44</v>
      </c>
      <c r="C68" s="43">
        <v>0</v>
      </c>
      <c r="D68" s="43">
        <v>5</v>
      </c>
      <c r="E68" s="44">
        <v>-70.908567828999907</v>
      </c>
      <c r="F68" s="44">
        <v>-33.622389747999897</v>
      </c>
      <c r="G68" s="45">
        <v>8460.9500000000007</v>
      </c>
      <c r="H68" s="43">
        <v>1</v>
      </c>
      <c r="I68" s="42">
        <v>0</v>
      </c>
      <c r="J68" s="42">
        <v>0</v>
      </c>
      <c r="K68" s="42">
        <v>0</v>
      </c>
      <c r="L68" s="42">
        <v>1</v>
      </c>
    </row>
    <row r="69" ht="14.25" customHeight="1">
      <c r="A69" s="42" t="s">
        <v>15</v>
      </c>
      <c r="B69" s="43" t="s">
        <v>44</v>
      </c>
      <c r="C69" s="43">
        <v>0</v>
      </c>
      <c r="D69" s="43">
        <v>6</v>
      </c>
      <c r="E69" s="44">
        <v>-70.902645749000001</v>
      </c>
      <c r="F69" s="44">
        <v>-33.611066000999998</v>
      </c>
      <c r="G69" s="45">
        <v>10021.07</v>
      </c>
      <c r="H69" s="43">
        <v>1</v>
      </c>
      <c r="I69" s="42">
        <v>0</v>
      </c>
      <c r="J69" s="42">
        <v>0</v>
      </c>
      <c r="K69" s="42">
        <v>0</v>
      </c>
      <c r="L69" s="42">
        <v>1</v>
      </c>
    </row>
    <row r="70" ht="14.25" customHeight="1">
      <c r="A70" s="42" t="s">
        <v>15</v>
      </c>
      <c r="B70" s="43" t="s">
        <v>44</v>
      </c>
      <c r="C70" s="43">
        <v>0</v>
      </c>
      <c r="D70" s="43">
        <v>7</v>
      </c>
      <c r="E70" s="44">
        <v>-70.881335199999995</v>
      </c>
      <c r="F70" s="44">
        <v>-33.610927849999896</v>
      </c>
      <c r="G70" s="45">
        <v>12012.4</v>
      </c>
      <c r="H70" s="43">
        <v>1</v>
      </c>
      <c r="I70" s="42">
        <v>0</v>
      </c>
      <c r="J70" s="42">
        <v>0</v>
      </c>
      <c r="K70" s="42">
        <v>0</v>
      </c>
      <c r="L70" s="42">
        <v>1</v>
      </c>
    </row>
    <row r="71" ht="14.25" customHeight="1">
      <c r="A71" s="42" t="s">
        <v>15</v>
      </c>
      <c r="B71" s="43" t="s">
        <v>44</v>
      </c>
      <c r="C71" s="43">
        <v>0</v>
      </c>
      <c r="D71" s="43">
        <v>8</v>
      </c>
      <c r="E71" s="44">
        <v>-70.862901050999895</v>
      </c>
      <c r="F71" s="44">
        <v>-33.610050899999997</v>
      </c>
      <c r="G71" s="45">
        <v>13726</v>
      </c>
      <c r="H71" s="43">
        <v>1</v>
      </c>
      <c r="I71" s="42">
        <v>0</v>
      </c>
      <c r="J71" s="42">
        <v>0</v>
      </c>
      <c r="K71" s="42">
        <v>0</v>
      </c>
      <c r="L71" s="42">
        <v>1</v>
      </c>
    </row>
    <row r="72" ht="14.25" customHeight="1">
      <c r="A72" s="42" t="s">
        <v>15</v>
      </c>
      <c r="B72" s="43" t="s">
        <v>44</v>
      </c>
      <c r="C72" s="43">
        <v>0</v>
      </c>
      <c r="D72" s="43">
        <v>9</v>
      </c>
      <c r="E72" s="44">
        <v>-70.827802035999994</v>
      </c>
      <c r="F72" s="44">
        <v>-33.580510164000003</v>
      </c>
      <c r="G72" s="45">
        <v>19007.93</v>
      </c>
      <c r="H72" s="43">
        <v>1</v>
      </c>
      <c r="I72" s="42">
        <v>0</v>
      </c>
      <c r="J72" s="42">
        <v>0</v>
      </c>
      <c r="K72" s="42">
        <v>0</v>
      </c>
      <c r="L72" s="42">
        <v>1</v>
      </c>
    </row>
    <row r="73" ht="14.25" customHeight="1">
      <c r="A73" s="42" t="s">
        <v>15</v>
      </c>
      <c r="B73" s="43" t="s">
        <v>44</v>
      </c>
      <c r="C73" s="43">
        <v>0</v>
      </c>
      <c r="D73" s="43">
        <v>10</v>
      </c>
      <c r="E73" s="44">
        <v>-70.805865127999894</v>
      </c>
      <c r="F73" s="44">
        <v>-33.561914981999998</v>
      </c>
      <c r="G73" s="45">
        <v>21934.689999999999</v>
      </c>
      <c r="H73" s="43">
        <v>1</v>
      </c>
      <c r="I73" s="42">
        <v>0</v>
      </c>
      <c r="J73" s="42">
        <v>0</v>
      </c>
      <c r="K73" s="42">
        <v>0</v>
      </c>
      <c r="L73" s="42">
        <v>1</v>
      </c>
    </row>
    <row r="74" ht="14.25" customHeight="1">
      <c r="A74" s="42" t="s">
        <v>15</v>
      </c>
      <c r="B74" s="43" t="s">
        <v>44</v>
      </c>
      <c r="C74" s="43">
        <v>0</v>
      </c>
      <c r="D74" s="43">
        <v>11</v>
      </c>
      <c r="E74" s="44">
        <v>-70.788015278000003</v>
      </c>
      <c r="F74" s="44">
        <v>-33.548769181999901</v>
      </c>
      <c r="G74" s="45">
        <v>24143.639999999999</v>
      </c>
      <c r="H74" s="43">
        <v>1</v>
      </c>
      <c r="I74" s="42">
        <v>0</v>
      </c>
      <c r="J74" s="42">
        <v>0</v>
      </c>
      <c r="K74" s="42">
        <v>0</v>
      </c>
      <c r="L74" s="42">
        <v>1</v>
      </c>
    </row>
    <row r="75" ht="14.25" customHeight="1">
      <c r="A75" s="42" t="s">
        <v>15</v>
      </c>
      <c r="B75" s="43" t="s">
        <v>44</v>
      </c>
      <c r="C75" s="43">
        <v>0</v>
      </c>
      <c r="D75" s="43">
        <v>12</v>
      </c>
      <c r="E75" s="44">
        <v>-70.766525400000006</v>
      </c>
      <c r="F75" s="44">
        <v>-33.534041600000002</v>
      </c>
      <c r="G75" s="45">
        <v>26722.84</v>
      </c>
      <c r="H75" s="43">
        <v>1</v>
      </c>
      <c r="I75" s="42">
        <v>0</v>
      </c>
      <c r="J75" s="42">
        <v>0</v>
      </c>
      <c r="K75" s="42">
        <v>0</v>
      </c>
      <c r="L75" s="42">
        <v>1</v>
      </c>
    </row>
    <row r="76" ht="14.25" customHeight="1">
      <c r="A76" s="42" t="s">
        <v>15</v>
      </c>
      <c r="B76" s="43" t="s">
        <v>44</v>
      </c>
      <c r="C76" s="43">
        <v>0</v>
      </c>
      <c r="D76" s="43">
        <v>13</v>
      </c>
      <c r="E76" s="44">
        <v>-70.737004299999995</v>
      </c>
      <c r="F76" s="44">
        <v>-33.516854799999997</v>
      </c>
      <c r="G76" s="45">
        <v>30067.169999999998</v>
      </c>
      <c r="H76" s="43">
        <v>1</v>
      </c>
      <c r="I76" s="42">
        <v>0</v>
      </c>
      <c r="J76" s="42">
        <v>0</v>
      </c>
      <c r="K76" s="42">
        <v>0</v>
      </c>
      <c r="L76" s="42">
        <v>1</v>
      </c>
    </row>
    <row r="77" ht="14.25" customHeight="1">
      <c r="A77" s="42" t="s">
        <v>15</v>
      </c>
      <c r="B77" s="43" t="s">
        <v>44</v>
      </c>
      <c r="C77" s="43">
        <v>0</v>
      </c>
      <c r="D77" s="43">
        <v>14</v>
      </c>
      <c r="E77" s="44">
        <v>-70.700438770000005</v>
      </c>
      <c r="F77" s="44">
        <v>-33.488753510999999</v>
      </c>
      <c r="G77" s="45">
        <v>34838.68</v>
      </c>
      <c r="H77" s="43">
        <v>1</v>
      </c>
      <c r="I77" s="42">
        <v>0</v>
      </c>
      <c r="J77" s="42">
        <v>0</v>
      </c>
      <c r="K77" s="42">
        <v>0</v>
      </c>
      <c r="L77" s="42">
        <v>1</v>
      </c>
    </row>
    <row r="78" ht="14.25" customHeight="1">
      <c r="A78" s="42" t="s">
        <v>15</v>
      </c>
      <c r="B78" s="43" t="s">
        <v>44</v>
      </c>
      <c r="C78" s="43">
        <v>0</v>
      </c>
      <c r="D78" s="43">
        <v>15</v>
      </c>
      <c r="E78" s="44">
        <v>-70.684373829999998</v>
      </c>
      <c r="F78" s="44">
        <v>-33.464604594000001</v>
      </c>
      <c r="G78" s="45">
        <v>38832.610000000001</v>
      </c>
      <c r="H78" s="43">
        <v>1</v>
      </c>
      <c r="I78" s="42">
        <v>0</v>
      </c>
      <c r="J78" s="42">
        <v>0</v>
      </c>
      <c r="K78" s="42">
        <v>0</v>
      </c>
      <c r="L78" s="42">
        <v>1</v>
      </c>
    </row>
    <row r="79" ht="14.25" customHeight="1">
      <c r="A79" s="42" t="s">
        <v>15</v>
      </c>
      <c r="B79" s="43" t="s">
        <v>44</v>
      </c>
      <c r="C79" s="43">
        <v>0</v>
      </c>
      <c r="D79" s="43">
        <v>16</v>
      </c>
      <c r="E79" s="44">
        <v>-70.682723100999993</v>
      </c>
      <c r="F79" s="44">
        <v>-33.455002917999899</v>
      </c>
      <c r="G79" s="45">
        <v>39971.190000000002</v>
      </c>
      <c r="H79" s="43">
        <v>1</v>
      </c>
      <c r="I79" s="42">
        <v>1</v>
      </c>
      <c r="J79" s="42">
        <v>0</v>
      </c>
      <c r="K79" s="42">
        <v>0.10000000000000001</v>
      </c>
      <c r="L79" s="42">
        <v>1</v>
      </c>
    </row>
    <row r="80" ht="14.25" customHeight="1">
      <c r="A80" s="42" t="s">
        <v>15</v>
      </c>
      <c r="B80" s="43" t="s">
        <v>45</v>
      </c>
      <c r="C80" s="43">
        <v>0</v>
      </c>
      <c r="D80" s="43">
        <v>1</v>
      </c>
      <c r="E80" s="44">
        <v>-70.946461653</v>
      </c>
      <c r="F80" s="44">
        <v>-33.672696516999999</v>
      </c>
      <c r="G80" s="45">
        <v>571.44000000000005</v>
      </c>
      <c r="H80" s="43">
        <v>1</v>
      </c>
      <c r="I80" s="42">
        <v>1</v>
      </c>
      <c r="J80" s="42">
        <v>1</v>
      </c>
      <c r="K80" s="42">
        <v>0.80000000000000004</v>
      </c>
      <c r="L80" s="42">
        <v>1</v>
      </c>
    </row>
    <row r="81" ht="14.25" customHeight="1">
      <c r="A81" s="42" t="s">
        <v>15</v>
      </c>
      <c r="B81" s="43" t="s">
        <v>45</v>
      </c>
      <c r="C81" s="43">
        <v>0</v>
      </c>
      <c r="D81" s="43">
        <v>2</v>
      </c>
      <c r="E81" s="44">
        <v>-70.934829199999996</v>
      </c>
      <c r="F81" s="44">
        <v>-33.666420199999997</v>
      </c>
      <c r="G81" s="45">
        <v>1873.3900000000001</v>
      </c>
      <c r="H81" s="43">
        <v>1</v>
      </c>
      <c r="I81" s="42">
        <v>1</v>
      </c>
      <c r="J81" s="42">
        <v>0</v>
      </c>
      <c r="K81" s="42">
        <v>0.10000000000000001</v>
      </c>
      <c r="L81" s="42">
        <v>1</v>
      </c>
    </row>
    <row r="82" ht="14.25" customHeight="1">
      <c r="A82" s="42" t="s">
        <v>15</v>
      </c>
      <c r="B82" s="43" t="s">
        <v>45</v>
      </c>
      <c r="C82" s="43">
        <v>0</v>
      </c>
      <c r="D82" s="43">
        <v>3</v>
      </c>
      <c r="E82" s="44">
        <v>-70.923334754999999</v>
      </c>
      <c r="F82" s="44">
        <v>-33.660760367000002</v>
      </c>
      <c r="G82" s="45">
        <v>3420.6399999999999</v>
      </c>
      <c r="H82" s="43">
        <v>1</v>
      </c>
      <c r="I82" s="42">
        <v>0</v>
      </c>
      <c r="J82" s="42">
        <v>0</v>
      </c>
      <c r="K82" s="42">
        <v>0</v>
      </c>
      <c r="L82" s="42">
        <v>1</v>
      </c>
    </row>
    <row r="83" ht="14.25" customHeight="1">
      <c r="A83" s="42" t="s">
        <v>15</v>
      </c>
      <c r="B83" s="43" t="s">
        <v>45</v>
      </c>
      <c r="C83" s="43">
        <v>0</v>
      </c>
      <c r="D83" s="43">
        <v>4</v>
      </c>
      <c r="E83" s="44">
        <v>-70.926242099999996</v>
      </c>
      <c r="F83" s="44">
        <v>-33.670742801000003</v>
      </c>
      <c r="G83" s="45">
        <v>5850.5900000000001</v>
      </c>
      <c r="H83" s="43">
        <v>1</v>
      </c>
      <c r="I83" s="42">
        <v>0</v>
      </c>
      <c r="J83" s="42">
        <v>0</v>
      </c>
      <c r="K83" s="42">
        <v>0</v>
      </c>
      <c r="L83" s="42">
        <v>1</v>
      </c>
    </row>
    <row r="84" ht="14.25" customHeight="1">
      <c r="A84" s="42" t="s">
        <v>15</v>
      </c>
      <c r="B84" s="43" t="s">
        <v>45</v>
      </c>
      <c r="C84" s="43">
        <v>0</v>
      </c>
      <c r="D84" s="43">
        <v>5</v>
      </c>
      <c r="E84" s="44">
        <v>-70.924023926000004</v>
      </c>
      <c r="F84" s="44">
        <v>-33.676817839999998</v>
      </c>
      <c r="G84" s="45">
        <v>6611.1599999999999</v>
      </c>
      <c r="H84" s="43">
        <v>1</v>
      </c>
      <c r="I84" s="42">
        <v>0</v>
      </c>
      <c r="J84" s="42">
        <v>0</v>
      </c>
      <c r="K84" s="42">
        <v>0</v>
      </c>
      <c r="L84" s="42">
        <v>1</v>
      </c>
    </row>
    <row r="85" ht="14.25" customHeight="1">
      <c r="A85" s="42" t="s">
        <v>15</v>
      </c>
      <c r="B85" s="43" t="s">
        <v>45</v>
      </c>
      <c r="C85" s="43">
        <v>0</v>
      </c>
      <c r="D85" s="43">
        <v>6</v>
      </c>
      <c r="E85" s="44">
        <v>-70.934088599999896</v>
      </c>
      <c r="F85" s="44">
        <v>-33.702660700000003</v>
      </c>
      <c r="G85" s="45">
        <v>9756.8700000000008</v>
      </c>
      <c r="H85" s="43">
        <v>1</v>
      </c>
      <c r="I85" s="42">
        <v>0</v>
      </c>
      <c r="J85" s="42">
        <v>0</v>
      </c>
      <c r="K85" s="42">
        <v>0</v>
      </c>
      <c r="L85" s="42">
        <v>1</v>
      </c>
    </row>
    <row r="86" ht="14.25" customHeight="1">
      <c r="A86" s="42" t="s">
        <v>15</v>
      </c>
      <c r="B86" s="43" t="s">
        <v>45</v>
      </c>
      <c r="C86" s="43">
        <v>0</v>
      </c>
      <c r="D86" s="43">
        <v>7</v>
      </c>
      <c r="E86" s="44">
        <v>-70.923275251000007</v>
      </c>
      <c r="F86" s="44">
        <v>-33.717530850000003</v>
      </c>
      <c r="G86" s="45">
        <v>11738.33</v>
      </c>
      <c r="H86" s="43">
        <v>1</v>
      </c>
      <c r="I86" s="42">
        <v>0</v>
      </c>
      <c r="J86" s="42">
        <v>0</v>
      </c>
      <c r="K86" s="42">
        <v>0</v>
      </c>
      <c r="L86" s="42">
        <v>1</v>
      </c>
    </row>
    <row r="87" ht="14.25" customHeight="1">
      <c r="A87" s="42" t="s">
        <v>15</v>
      </c>
      <c r="B87" s="43" t="s">
        <v>45</v>
      </c>
      <c r="C87" s="43">
        <v>0</v>
      </c>
      <c r="D87" s="43">
        <v>8</v>
      </c>
      <c r="E87" s="44">
        <v>-70.916106600000006</v>
      </c>
      <c r="F87" s="44">
        <v>-33.724953055999997</v>
      </c>
      <c r="G87" s="45">
        <v>12880.93</v>
      </c>
      <c r="H87" s="43">
        <v>1</v>
      </c>
      <c r="I87" s="42">
        <v>0</v>
      </c>
      <c r="J87" s="42">
        <v>0</v>
      </c>
      <c r="K87" s="42">
        <v>0</v>
      </c>
      <c r="L87" s="42">
        <v>1</v>
      </c>
    </row>
    <row r="88" ht="14.25" customHeight="1">
      <c r="A88" s="42" t="s">
        <v>15</v>
      </c>
      <c r="B88" s="43" t="s">
        <v>45</v>
      </c>
      <c r="C88" s="43">
        <v>0</v>
      </c>
      <c r="D88" s="43">
        <v>9</v>
      </c>
      <c r="E88" s="44">
        <v>-70.899508140999998</v>
      </c>
      <c r="F88" s="44">
        <v>-33.743558569000001</v>
      </c>
      <c r="G88" s="45">
        <v>15803.4</v>
      </c>
      <c r="H88" s="43">
        <v>1</v>
      </c>
      <c r="I88" s="42">
        <v>0</v>
      </c>
      <c r="J88" s="42">
        <v>0</v>
      </c>
      <c r="K88" s="42">
        <v>0</v>
      </c>
      <c r="L88" s="42">
        <v>1</v>
      </c>
    </row>
    <row r="89" ht="14.25" customHeight="1">
      <c r="A89" s="42" t="s">
        <v>15</v>
      </c>
      <c r="B89" s="43" t="s">
        <v>45</v>
      </c>
      <c r="C89" s="43">
        <v>0</v>
      </c>
      <c r="D89" s="43">
        <v>10</v>
      </c>
      <c r="E89" s="44">
        <v>-70.906105848999999</v>
      </c>
      <c r="F89" s="44">
        <v>-33.749266755000001</v>
      </c>
      <c r="G89" s="45">
        <v>17988.360000000001</v>
      </c>
      <c r="H89" s="43">
        <v>1</v>
      </c>
      <c r="I89" s="42">
        <v>0</v>
      </c>
      <c r="J89" s="42">
        <v>0</v>
      </c>
      <c r="K89" s="42">
        <v>0</v>
      </c>
      <c r="L89" s="42">
        <v>1</v>
      </c>
    </row>
    <row r="90" ht="14.25" customHeight="1">
      <c r="A90" s="42" t="s">
        <v>15</v>
      </c>
      <c r="B90" s="43" t="s">
        <v>45</v>
      </c>
      <c r="C90" s="43">
        <v>0</v>
      </c>
      <c r="D90" s="43">
        <v>11</v>
      </c>
      <c r="E90" s="44">
        <v>-70.890062099000005</v>
      </c>
      <c r="F90" s="44">
        <v>-33.751539950999998</v>
      </c>
      <c r="G90" s="45">
        <v>20587.369999999999</v>
      </c>
      <c r="H90" s="43">
        <v>1</v>
      </c>
      <c r="I90" s="42">
        <v>0</v>
      </c>
      <c r="J90" s="42">
        <v>0</v>
      </c>
      <c r="K90" s="42">
        <v>0</v>
      </c>
      <c r="L90" s="42">
        <v>1</v>
      </c>
    </row>
    <row r="91" ht="14.25" customHeight="1">
      <c r="A91" s="42" t="s">
        <v>15</v>
      </c>
      <c r="B91" s="43" t="s">
        <v>45</v>
      </c>
      <c r="C91" s="43">
        <v>0</v>
      </c>
      <c r="D91" s="43">
        <v>12</v>
      </c>
      <c r="E91" s="44">
        <v>-70.867915999999994</v>
      </c>
      <c r="F91" s="44">
        <v>-33.747066899999901</v>
      </c>
      <c r="G91" s="45">
        <v>23710.799999999999</v>
      </c>
      <c r="H91" s="43">
        <v>1</v>
      </c>
      <c r="I91" s="42">
        <v>0</v>
      </c>
      <c r="J91" s="42">
        <v>0</v>
      </c>
      <c r="K91" s="42">
        <v>0</v>
      </c>
      <c r="L91" s="42">
        <v>1</v>
      </c>
    </row>
    <row r="92" ht="14.25" customHeight="1">
      <c r="A92" s="42" t="s">
        <v>15</v>
      </c>
      <c r="B92" s="43" t="s">
        <v>45</v>
      </c>
      <c r="C92" s="43">
        <v>0</v>
      </c>
      <c r="D92" s="43">
        <v>13</v>
      </c>
      <c r="E92" s="44">
        <v>-70.870312600000005</v>
      </c>
      <c r="F92" s="44">
        <v>-33.745718951000001</v>
      </c>
      <c r="G92" s="45">
        <v>24038.02</v>
      </c>
      <c r="H92" s="43">
        <v>1</v>
      </c>
      <c r="I92" s="42">
        <v>0</v>
      </c>
      <c r="J92" s="42">
        <v>0</v>
      </c>
      <c r="K92" s="42">
        <v>0</v>
      </c>
      <c r="L92" s="42">
        <v>1</v>
      </c>
    </row>
    <row r="93" ht="14.25" customHeight="1">
      <c r="A93" s="42" t="s">
        <v>15</v>
      </c>
      <c r="B93" s="43" t="s">
        <v>45</v>
      </c>
      <c r="C93" s="43">
        <v>0</v>
      </c>
      <c r="D93" s="43">
        <v>14</v>
      </c>
      <c r="E93" s="44">
        <v>-70.869760399</v>
      </c>
      <c r="F93" s="44">
        <v>-33.743623100000001</v>
      </c>
      <c r="G93" s="45">
        <v>24324.580000000002</v>
      </c>
      <c r="H93" s="43">
        <v>1</v>
      </c>
      <c r="I93" s="42">
        <v>0</v>
      </c>
      <c r="J93" s="42">
        <v>0</v>
      </c>
      <c r="K93" s="42">
        <v>0</v>
      </c>
      <c r="L93" s="42">
        <v>1</v>
      </c>
    </row>
    <row r="94" ht="14.25" customHeight="1">
      <c r="A94" s="42" t="s">
        <v>15</v>
      </c>
      <c r="B94" s="43" t="s">
        <v>45</v>
      </c>
      <c r="C94" s="43">
        <v>0</v>
      </c>
      <c r="D94" s="43">
        <v>15</v>
      </c>
      <c r="E94" s="44">
        <v>-70.867077378999994</v>
      </c>
      <c r="F94" s="44">
        <v>-33.744353824000001</v>
      </c>
      <c r="G94" s="45">
        <v>24618.25</v>
      </c>
      <c r="H94" s="43">
        <v>1</v>
      </c>
      <c r="I94" s="42">
        <v>0</v>
      </c>
      <c r="J94" s="42">
        <v>0</v>
      </c>
      <c r="K94" s="42">
        <v>0</v>
      </c>
      <c r="L94" s="42">
        <v>1</v>
      </c>
    </row>
    <row r="95" ht="14.25" customHeight="1">
      <c r="A95" s="42" t="s">
        <v>15</v>
      </c>
      <c r="B95" s="43" t="s">
        <v>45</v>
      </c>
      <c r="C95" s="43">
        <v>0</v>
      </c>
      <c r="D95" s="43">
        <v>16</v>
      </c>
      <c r="E95" s="44">
        <v>-70.863076081000003</v>
      </c>
      <c r="F95" s="44">
        <v>-33.735062528</v>
      </c>
      <c r="G95" s="45">
        <v>26274.990000000002</v>
      </c>
      <c r="H95" s="43">
        <v>1</v>
      </c>
      <c r="I95" s="42">
        <v>0</v>
      </c>
      <c r="J95" s="42">
        <v>0</v>
      </c>
      <c r="K95" s="42">
        <v>0</v>
      </c>
      <c r="L95" s="42">
        <v>1</v>
      </c>
    </row>
    <row r="96" ht="14.25" customHeight="1">
      <c r="A96" s="42" t="s">
        <v>15</v>
      </c>
      <c r="B96" s="43" t="s">
        <v>45</v>
      </c>
      <c r="C96" s="43">
        <v>0</v>
      </c>
      <c r="D96" s="43">
        <v>17</v>
      </c>
      <c r="E96" s="44">
        <v>-70.864991700999994</v>
      </c>
      <c r="F96" s="44">
        <v>-33.733501699999998</v>
      </c>
      <c r="G96" s="45">
        <v>26569.709999999999</v>
      </c>
      <c r="H96" s="43">
        <v>1</v>
      </c>
      <c r="I96" s="42">
        <v>0</v>
      </c>
      <c r="J96" s="42">
        <v>0</v>
      </c>
      <c r="K96" s="42">
        <v>0</v>
      </c>
      <c r="L96" s="42">
        <v>1</v>
      </c>
    </row>
    <row r="97" ht="14.25" customHeight="1">
      <c r="A97" s="42" t="s">
        <v>15</v>
      </c>
      <c r="B97" s="43" t="s">
        <v>45</v>
      </c>
      <c r="C97" s="43">
        <v>0</v>
      </c>
      <c r="D97" s="43">
        <v>18</v>
      </c>
      <c r="E97" s="44">
        <v>-70.859791305000002</v>
      </c>
      <c r="F97" s="44">
        <v>-33.7345357479999</v>
      </c>
      <c r="G97" s="45">
        <v>27114.939999999999</v>
      </c>
      <c r="H97" s="43">
        <v>1</v>
      </c>
      <c r="I97" s="42">
        <v>0</v>
      </c>
      <c r="J97" s="42">
        <v>0</v>
      </c>
      <c r="K97" s="42">
        <v>0</v>
      </c>
      <c r="L97" s="42">
        <v>1</v>
      </c>
    </row>
    <row r="98" ht="14.25" customHeight="1">
      <c r="A98" s="42" t="s">
        <v>15</v>
      </c>
      <c r="B98" s="43" t="s">
        <v>45</v>
      </c>
      <c r="C98" s="43">
        <v>0</v>
      </c>
      <c r="D98" s="43">
        <v>19</v>
      </c>
      <c r="E98" s="44">
        <v>-70.793224800000004</v>
      </c>
      <c r="F98" s="44">
        <v>-33.6121573</v>
      </c>
      <c r="G98" s="45">
        <v>43281.260000000002</v>
      </c>
      <c r="H98" s="43">
        <v>1</v>
      </c>
      <c r="I98" s="42">
        <v>0</v>
      </c>
      <c r="J98" s="42">
        <v>0</v>
      </c>
      <c r="K98" s="42">
        <v>0</v>
      </c>
      <c r="L98" s="42">
        <v>1</v>
      </c>
    </row>
    <row r="99" ht="14.25" customHeight="1">
      <c r="A99" s="42" t="s">
        <v>15</v>
      </c>
      <c r="B99" s="43" t="s">
        <v>45</v>
      </c>
      <c r="C99" s="43">
        <v>0</v>
      </c>
      <c r="D99" s="43">
        <v>20</v>
      </c>
      <c r="E99" s="44">
        <v>-70.721796835000006</v>
      </c>
      <c r="F99" s="44">
        <v>-33.518373011999998</v>
      </c>
      <c r="G99" s="45">
        <v>55667.190000000002</v>
      </c>
      <c r="H99" s="43">
        <v>1</v>
      </c>
      <c r="I99" s="42">
        <v>0</v>
      </c>
      <c r="J99" s="42">
        <v>0</v>
      </c>
      <c r="K99" s="42">
        <v>0</v>
      </c>
      <c r="L99" s="42">
        <v>1</v>
      </c>
    </row>
    <row r="100" ht="14.25" customHeight="1">
      <c r="A100" s="42" t="s">
        <v>15</v>
      </c>
      <c r="B100" s="43" t="s">
        <v>45</v>
      </c>
      <c r="C100" s="43">
        <v>0</v>
      </c>
      <c r="D100" s="43">
        <v>21</v>
      </c>
      <c r="E100" s="44">
        <v>-70.684404079999993</v>
      </c>
      <c r="F100" s="44">
        <v>-33.465178492999897</v>
      </c>
      <c r="G100" s="45">
        <v>63447.989999999998</v>
      </c>
      <c r="H100" s="43">
        <v>1</v>
      </c>
      <c r="I100" s="42">
        <v>0</v>
      </c>
      <c r="J100" s="42">
        <v>0</v>
      </c>
      <c r="K100" s="42">
        <v>0</v>
      </c>
      <c r="L100" s="42">
        <v>1</v>
      </c>
    </row>
    <row r="101" ht="14.25" customHeight="1">
      <c r="A101" s="42" t="s">
        <v>15</v>
      </c>
      <c r="B101" s="43" t="s">
        <v>45</v>
      </c>
      <c r="C101" s="43">
        <v>0</v>
      </c>
      <c r="D101" s="43">
        <v>22</v>
      </c>
      <c r="E101" s="44">
        <v>-70.682661276000005</v>
      </c>
      <c r="F101" s="44">
        <v>-33.45497933</v>
      </c>
      <c r="G101" s="45">
        <v>64656.580000000002</v>
      </c>
      <c r="H101" s="43">
        <v>1</v>
      </c>
      <c r="I101" s="42">
        <v>1</v>
      </c>
      <c r="J101" s="42">
        <v>0</v>
      </c>
      <c r="K101" s="42">
        <v>0.10000000000000001</v>
      </c>
      <c r="L101" s="42">
        <v>1</v>
      </c>
    </row>
    <row r="102" ht="14.25" customHeight="1">
      <c r="A102" s="42" t="s">
        <v>15</v>
      </c>
      <c r="B102" s="43" t="s">
        <v>45</v>
      </c>
      <c r="C102" s="43">
        <v>1</v>
      </c>
      <c r="D102" s="43">
        <v>1</v>
      </c>
      <c r="E102" s="44">
        <v>-70.680765655000002</v>
      </c>
      <c r="F102" s="44">
        <v>-33.458256585999997</v>
      </c>
      <c r="G102" s="45">
        <v>175.16</v>
      </c>
      <c r="H102" s="43">
        <v>1</v>
      </c>
      <c r="I102" s="42">
        <v>1</v>
      </c>
      <c r="J102" s="42">
        <v>1</v>
      </c>
      <c r="K102" s="42">
        <v>0.80000000000000004</v>
      </c>
      <c r="L102" s="42">
        <v>1</v>
      </c>
    </row>
    <row r="103" ht="14.25" customHeight="1">
      <c r="A103" s="42" t="s">
        <v>15</v>
      </c>
      <c r="B103" s="43" t="s">
        <v>45</v>
      </c>
      <c r="C103" s="43">
        <v>1</v>
      </c>
      <c r="D103" s="43">
        <v>2</v>
      </c>
      <c r="E103" s="44">
        <v>-70.686596303000002</v>
      </c>
      <c r="F103" s="44">
        <v>-33.474674602999997</v>
      </c>
      <c r="G103" s="45">
        <v>2360.8400000000001</v>
      </c>
      <c r="H103" s="43">
        <v>1</v>
      </c>
      <c r="I103" s="42">
        <v>1</v>
      </c>
      <c r="J103" s="42">
        <v>0</v>
      </c>
      <c r="K103" s="42">
        <v>0.10000000000000001</v>
      </c>
      <c r="L103" s="42">
        <v>1</v>
      </c>
    </row>
    <row r="104" ht="14.25" customHeight="1">
      <c r="A104" s="42" t="s">
        <v>15</v>
      </c>
      <c r="B104" s="43" t="s">
        <v>45</v>
      </c>
      <c r="C104" s="43">
        <v>1</v>
      </c>
      <c r="D104" s="43">
        <v>3</v>
      </c>
      <c r="E104" s="44">
        <v>-70.722407200000006</v>
      </c>
      <c r="F104" s="44">
        <v>-33.518947300000001</v>
      </c>
      <c r="G104" s="45">
        <v>8331.8700000000008</v>
      </c>
      <c r="H104" s="43">
        <v>1</v>
      </c>
      <c r="I104" s="42">
        <v>0</v>
      </c>
      <c r="J104" s="42">
        <v>0</v>
      </c>
      <c r="K104" s="42">
        <v>0</v>
      </c>
      <c r="L104" s="42">
        <v>1</v>
      </c>
    </row>
    <row r="105" ht="14.25" customHeight="1">
      <c r="A105" s="42" t="s">
        <v>15</v>
      </c>
      <c r="B105" s="43" t="s">
        <v>45</v>
      </c>
      <c r="C105" s="43">
        <v>1</v>
      </c>
      <c r="D105" s="43">
        <v>4</v>
      </c>
      <c r="E105" s="44">
        <v>-70.794007980000003</v>
      </c>
      <c r="F105" s="44">
        <v>-33.613616776000001</v>
      </c>
      <c r="G105" s="45">
        <v>20812.950000000001</v>
      </c>
      <c r="H105" s="43">
        <v>1</v>
      </c>
      <c r="I105" s="42">
        <v>0</v>
      </c>
      <c r="J105" s="42">
        <v>0</v>
      </c>
      <c r="K105" s="42">
        <v>0</v>
      </c>
      <c r="L105" s="42">
        <v>1</v>
      </c>
    </row>
    <row r="106" ht="14.25" customHeight="1">
      <c r="A106" s="42" t="s">
        <v>15</v>
      </c>
      <c r="B106" s="43" t="s">
        <v>45</v>
      </c>
      <c r="C106" s="43">
        <v>1</v>
      </c>
      <c r="D106" s="43">
        <v>5</v>
      </c>
      <c r="E106" s="44">
        <v>-70.859990553000003</v>
      </c>
      <c r="F106" s="44">
        <v>-33.734474743999897</v>
      </c>
      <c r="G106" s="45">
        <v>36805.709999999999</v>
      </c>
      <c r="H106" s="43">
        <v>1</v>
      </c>
      <c r="I106" s="42">
        <v>0</v>
      </c>
      <c r="J106" s="42">
        <v>0</v>
      </c>
      <c r="K106" s="42">
        <v>0</v>
      </c>
      <c r="L106" s="42">
        <v>1</v>
      </c>
    </row>
    <row r="107" ht="14.25" customHeight="1">
      <c r="A107" s="42" t="s">
        <v>15</v>
      </c>
      <c r="B107" s="43" t="s">
        <v>45</v>
      </c>
      <c r="C107" s="43">
        <v>1</v>
      </c>
      <c r="D107" s="43">
        <v>6</v>
      </c>
      <c r="E107" s="44">
        <v>-70.865069300000002</v>
      </c>
      <c r="F107" s="44">
        <v>-33.733646800000002</v>
      </c>
      <c r="G107" s="45">
        <v>37348.910000000003</v>
      </c>
      <c r="H107" s="43">
        <v>1</v>
      </c>
      <c r="I107" s="42">
        <v>0</v>
      </c>
      <c r="J107" s="42">
        <v>0</v>
      </c>
      <c r="K107" s="42">
        <v>0</v>
      </c>
      <c r="L107" s="42">
        <v>1</v>
      </c>
    </row>
    <row r="108" ht="14.25" customHeight="1">
      <c r="A108" s="42" t="s">
        <v>15</v>
      </c>
      <c r="B108" s="43" t="s">
        <v>45</v>
      </c>
      <c r="C108" s="43">
        <v>1</v>
      </c>
      <c r="D108" s="43">
        <v>7</v>
      </c>
      <c r="E108" s="44">
        <v>-70.86024424</v>
      </c>
      <c r="F108" s="44">
        <v>-33.738063766000003</v>
      </c>
      <c r="G108" s="45">
        <v>38140.07</v>
      </c>
      <c r="H108" s="43">
        <v>1</v>
      </c>
      <c r="I108" s="42">
        <v>0</v>
      </c>
      <c r="J108" s="42">
        <v>0</v>
      </c>
      <c r="K108" s="42">
        <v>0</v>
      </c>
      <c r="L108" s="42">
        <v>1</v>
      </c>
    </row>
    <row r="109" ht="14.25" customHeight="1">
      <c r="A109" s="42" t="s">
        <v>15</v>
      </c>
      <c r="B109" s="43" t="s">
        <v>45</v>
      </c>
      <c r="C109" s="43">
        <v>1</v>
      </c>
      <c r="D109" s="43">
        <v>8</v>
      </c>
      <c r="E109" s="44">
        <v>-70.866945400000006</v>
      </c>
      <c r="F109" s="44">
        <v>-33.744406749999897</v>
      </c>
      <c r="G109" s="45">
        <v>39269.169999999998</v>
      </c>
      <c r="H109" s="43">
        <v>1</v>
      </c>
      <c r="I109" s="42">
        <v>0</v>
      </c>
      <c r="J109" s="42">
        <v>0</v>
      </c>
      <c r="K109" s="42">
        <v>0</v>
      </c>
      <c r="L109" s="42">
        <v>1</v>
      </c>
    </row>
    <row r="110" ht="14.25" customHeight="1">
      <c r="A110" s="42" t="s">
        <v>15</v>
      </c>
      <c r="B110" s="43" t="s">
        <v>45</v>
      </c>
      <c r="C110" s="43">
        <v>1</v>
      </c>
      <c r="D110" s="43">
        <v>9</v>
      </c>
      <c r="E110" s="44">
        <v>-70.869905529999997</v>
      </c>
      <c r="F110" s="44">
        <v>-33.743874779000002</v>
      </c>
      <c r="G110" s="45">
        <v>39607.389999999999</v>
      </c>
      <c r="H110" s="43">
        <v>1</v>
      </c>
      <c r="I110" s="42">
        <v>0</v>
      </c>
      <c r="J110" s="42">
        <v>0</v>
      </c>
      <c r="K110" s="42">
        <v>0</v>
      </c>
      <c r="L110" s="42">
        <v>1</v>
      </c>
    </row>
    <row r="111" ht="14.25" customHeight="1">
      <c r="A111" s="42" t="s">
        <v>15</v>
      </c>
      <c r="B111" s="43" t="s">
        <v>45</v>
      </c>
      <c r="C111" s="43">
        <v>1</v>
      </c>
      <c r="D111" s="43">
        <v>10</v>
      </c>
      <c r="E111" s="44">
        <v>-70.870231752999999</v>
      </c>
      <c r="F111" s="44">
        <v>-33.745751292999998</v>
      </c>
      <c r="G111" s="45">
        <v>39871.269999999997</v>
      </c>
      <c r="H111" s="43">
        <v>1</v>
      </c>
      <c r="I111" s="42">
        <v>0</v>
      </c>
      <c r="J111" s="42">
        <v>0</v>
      </c>
      <c r="K111" s="42">
        <v>0</v>
      </c>
      <c r="L111" s="42">
        <v>1</v>
      </c>
    </row>
    <row r="112" ht="14.25" customHeight="1">
      <c r="A112" s="42" t="s">
        <v>15</v>
      </c>
      <c r="B112" s="43" t="s">
        <v>45</v>
      </c>
      <c r="C112" s="43">
        <v>1</v>
      </c>
      <c r="D112" s="43">
        <v>11</v>
      </c>
      <c r="E112" s="44">
        <v>-70.867666449999902</v>
      </c>
      <c r="F112" s="44">
        <v>-33.747113650000003</v>
      </c>
      <c r="G112" s="45">
        <v>40206.050000000003</v>
      </c>
      <c r="H112" s="43">
        <v>1</v>
      </c>
      <c r="I112" s="42">
        <v>0</v>
      </c>
      <c r="J112" s="42">
        <v>0</v>
      </c>
      <c r="K112" s="42">
        <v>0</v>
      </c>
      <c r="L112" s="42">
        <v>1</v>
      </c>
    </row>
    <row r="113" ht="14.25" customHeight="1">
      <c r="A113" s="42" t="s">
        <v>15</v>
      </c>
      <c r="B113" s="43" t="s">
        <v>45</v>
      </c>
      <c r="C113" s="43">
        <v>1</v>
      </c>
      <c r="D113" s="43">
        <v>12</v>
      </c>
      <c r="E113" s="44">
        <v>-70.889527700000002</v>
      </c>
      <c r="F113" s="44">
        <v>-33.751692200000001</v>
      </c>
      <c r="G113" s="45">
        <v>43253.470000000001</v>
      </c>
      <c r="H113" s="43">
        <v>1</v>
      </c>
      <c r="I113" s="42">
        <v>0</v>
      </c>
      <c r="J113" s="42">
        <v>0</v>
      </c>
      <c r="K113" s="42">
        <v>0</v>
      </c>
      <c r="L113" s="42">
        <v>1</v>
      </c>
    </row>
    <row r="114" ht="14.25" customHeight="1">
      <c r="A114" s="42" t="s">
        <v>15</v>
      </c>
      <c r="B114" s="43" t="s">
        <v>45</v>
      </c>
      <c r="C114" s="43">
        <v>1</v>
      </c>
      <c r="D114" s="43">
        <v>13</v>
      </c>
      <c r="E114" s="44">
        <v>-70.904970199999994</v>
      </c>
      <c r="F114" s="44">
        <v>-33.748638</v>
      </c>
      <c r="G114" s="45">
        <v>45749.029999999999</v>
      </c>
      <c r="H114" s="43">
        <v>1</v>
      </c>
      <c r="I114" s="42">
        <v>0</v>
      </c>
      <c r="J114" s="42">
        <v>0</v>
      </c>
      <c r="K114" s="42">
        <v>0</v>
      </c>
      <c r="L114" s="42">
        <v>1</v>
      </c>
    </row>
    <row r="115" ht="14.25" customHeight="1">
      <c r="A115" s="42" t="s">
        <v>15</v>
      </c>
      <c r="B115" s="43" t="s">
        <v>45</v>
      </c>
      <c r="C115" s="43">
        <v>1</v>
      </c>
      <c r="D115" s="43">
        <v>14</v>
      </c>
      <c r="E115" s="44">
        <v>-70.923682135999996</v>
      </c>
      <c r="F115" s="44">
        <v>-33.6776962879999</v>
      </c>
      <c r="G115" s="45">
        <v>55299.889999999999</v>
      </c>
      <c r="H115" s="43">
        <v>1</v>
      </c>
      <c r="I115" s="42">
        <v>0</v>
      </c>
      <c r="J115" s="42">
        <v>0</v>
      </c>
      <c r="K115" s="42">
        <v>0</v>
      </c>
      <c r="L115" s="42">
        <v>1</v>
      </c>
    </row>
    <row r="116" ht="14.25" customHeight="1">
      <c r="A116" s="42" t="s">
        <v>15</v>
      </c>
      <c r="B116" s="43" t="s">
        <v>45</v>
      </c>
      <c r="C116" s="43">
        <v>1</v>
      </c>
      <c r="D116" s="43">
        <v>15</v>
      </c>
      <c r="E116" s="44">
        <v>-70.923674484000003</v>
      </c>
      <c r="F116" s="44">
        <v>-33.660348792999997</v>
      </c>
      <c r="G116" s="45">
        <v>57810.32</v>
      </c>
      <c r="H116" s="43">
        <v>1</v>
      </c>
      <c r="I116" s="42">
        <v>0</v>
      </c>
      <c r="J116" s="42">
        <v>0</v>
      </c>
      <c r="K116" s="42">
        <v>0</v>
      </c>
      <c r="L116" s="42">
        <v>1</v>
      </c>
    </row>
    <row r="117" ht="14.25" customHeight="1">
      <c r="A117" s="42" t="s">
        <v>15</v>
      </c>
      <c r="B117" s="43" t="s">
        <v>45</v>
      </c>
      <c r="C117" s="43">
        <v>1</v>
      </c>
      <c r="D117" s="43">
        <v>16</v>
      </c>
      <c r="E117" s="44">
        <v>-70.928720999999896</v>
      </c>
      <c r="F117" s="44">
        <v>-33.662626499999902</v>
      </c>
      <c r="G117" s="45">
        <v>58539.059999999998</v>
      </c>
      <c r="H117" s="43">
        <v>1</v>
      </c>
      <c r="I117" s="42">
        <v>0</v>
      </c>
      <c r="J117" s="42">
        <v>0</v>
      </c>
      <c r="K117" s="42">
        <v>0</v>
      </c>
      <c r="L117" s="42">
        <v>1</v>
      </c>
    </row>
    <row r="118" ht="14.25" customHeight="1">
      <c r="A118" s="42" t="s">
        <v>15</v>
      </c>
      <c r="B118" s="43" t="s">
        <v>45</v>
      </c>
      <c r="C118" s="43">
        <v>1</v>
      </c>
      <c r="D118" s="43">
        <v>17</v>
      </c>
      <c r="E118" s="44">
        <v>-70.932643749999997</v>
      </c>
      <c r="F118" s="44">
        <v>-33.66407985</v>
      </c>
      <c r="G118" s="45">
        <v>58937.010000000002</v>
      </c>
      <c r="H118" s="43">
        <v>1</v>
      </c>
      <c r="I118" s="42">
        <v>0</v>
      </c>
      <c r="J118" s="42">
        <v>0</v>
      </c>
      <c r="K118" s="42">
        <v>0</v>
      </c>
      <c r="L118" s="42">
        <v>1</v>
      </c>
    </row>
    <row r="119" ht="14.25" customHeight="1">
      <c r="A119" s="42" t="s">
        <v>15</v>
      </c>
      <c r="B119" s="43" t="s">
        <v>45</v>
      </c>
      <c r="C119" s="43">
        <v>1</v>
      </c>
      <c r="D119" s="43">
        <v>18</v>
      </c>
      <c r="E119" s="44">
        <v>-70.940688480999896</v>
      </c>
      <c r="F119" s="44">
        <v>-33.670188324000002</v>
      </c>
      <c r="G119" s="45">
        <v>60069.300000000003</v>
      </c>
      <c r="H119" s="43">
        <v>1</v>
      </c>
      <c r="I119" s="42">
        <v>1</v>
      </c>
      <c r="J119" s="42">
        <v>0</v>
      </c>
      <c r="K119" s="42">
        <v>0.10000000000000001</v>
      </c>
      <c r="L119" s="42">
        <v>1</v>
      </c>
    </row>
    <row r="120" ht="14.25" customHeight="1">
      <c r="A120" s="42" t="s">
        <v>15</v>
      </c>
      <c r="B120" s="43" t="s">
        <v>46</v>
      </c>
      <c r="C120" s="43">
        <v>1</v>
      </c>
      <c r="D120" s="43">
        <v>1</v>
      </c>
      <c r="E120" s="44">
        <v>-70.680772223000005</v>
      </c>
      <c r="F120" s="44">
        <v>-33.458360698</v>
      </c>
      <c r="G120" s="45">
        <v>186.72</v>
      </c>
      <c r="H120" s="43">
        <v>1</v>
      </c>
      <c r="I120" s="42">
        <v>1</v>
      </c>
      <c r="J120" s="42">
        <v>1</v>
      </c>
      <c r="K120" s="42">
        <v>0.80000000000000004</v>
      </c>
      <c r="L120" s="42">
        <v>1</v>
      </c>
    </row>
    <row r="121" ht="14.25" customHeight="1">
      <c r="A121" s="42" t="s">
        <v>15</v>
      </c>
      <c r="B121" s="43" t="s">
        <v>46</v>
      </c>
      <c r="C121" s="43">
        <v>1</v>
      </c>
      <c r="D121" s="43">
        <v>2</v>
      </c>
      <c r="E121" s="44">
        <v>-70.686516150000003</v>
      </c>
      <c r="F121" s="44">
        <v>-33.474615149999998</v>
      </c>
      <c r="G121" s="45">
        <v>2350.9200000000001</v>
      </c>
      <c r="H121" s="43">
        <v>1</v>
      </c>
      <c r="I121" s="42">
        <v>1</v>
      </c>
      <c r="J121" s="42">
        <v>0</v>
      </c>
      <c r="K121" s="42">
        <v>0.10000000000000001</v>
      </c>
      <c r="L121" s="42">
        <v>1</v>
      </c>
    </row>
    <row r="122" ht="14.25" customHeight="1">
      <c r="A122" s="42" t="s">
        <v>15</v>
      </c>
      <c r="B122" s="43" t="s">
        <v>46</v>
      </c>
      <c r="C122" s="43">
        <v>1</v>
      </c>
      <c r="D122" s="43">
        <v>3</v>
      </c>
      <c r="E122" s="44">
        <v>-70.699203049999895</v>
      </c>
      <c r="F122" s="44">
        <v>-33.486843399999898</v>
      </c>
      <c r="G122" s="45">
        <v>4153.9300000000003</v>
      </c>
      <c r="H122" s="43">
        <v>1</v>
      </c>
      <c r="I122" s="42">
        <v>0</v>
      </c>
      <c r="J122" s="42">
        <v>0</v>
      </c>
      <c r="K122" s="42">
        <v>0</v>
      </c>
      <c r="L122" s="42">
        <v>1</v>
      </c>
    </row>
    <row r="123" ht="14.25" customHeight="1">
      <c r="A123" s="42" t="s">
        <v>15</v>
      </c>
      <c r="B123" s="43" t="s">
        <v>46</v>
      </c>
      <c r="C123" s="43">
        <v>1</v>
      </c>
      <c r="D123" s="43">
        <v>4</v>
      </c>
      <c r="E123" s="44">
        <v>-70.711044565999899</v>
      </c>
      <c r="F123" s="44">
        <v>-33.502820704999998</v>
      </c>
      <c r="G123" s="45">
        <v>6244.6099999999997</v>
      </c>
      <c r="H123" s="43">
        <v>1</v>
      </c>
      <c r="I123" s="42">
        <v>0</v>
      </c>
      <c r="J123" s="42">
        <v>0</v>
      </c>
      <c r="K123" s="42">
        <v>0</v>
      </c>
      <c r="L123" s="42">
        <v>1</v>
      </c>
    </row>
    <row r="124" ht="14.25" customHeight="1">
      <c r="A124" s="42" t="s">
        <v>15</v>
      </c>
      <c r="B124" s="43" t="s">
        <v>46</v>
      </c>
      <c r="C124" s="43">
        <v>1</v>
      </c>
      <c r="D124" s="43">
        <v>5</v>
      </c>
      <c r="E124" s="44">
        <v>-70.725110150000006</v>
      </c>
      <c r="F124" s="44">
        <v>-33.5221716</v>
      </c>
      <c r="G124" s="45">
        <v>8769.5799999999999</v>
      </c>
      <c r="H124" s="43">
        <v>1</v>
      </c>
      <c r="I124" s="42">
        <v>0</v>
      </c>
      <c r="J124" s="42">
        <v>0</v>
      </c>
      <c r="K124" s="42">
        <v>0</v>
      </c>
      <c r="L124" s="42">
        <v>1</v>
      </c>
    </row>
    <row r="125" ht="14.25" customHeight="1">
      <c r="A125" s="42" t="s">
        <v>15</v>
      </c>
      <c r="B125" s="43" t="s">
        <v>46</v>
      </c>
      <c r="C125" s="43">
        <v>1</v>
      </c>
      <c r="D125" s="43">
        <v>6</v>
      </c>
      <c r="E125" s="44">
        <v>-70.741619071000002</v>
      </c>
      <c r="F125" s="44">
        <v>-33.541978786000001</v>
      </c>
      <c r="G125" s="45">
        <v>11454.18</v>
      </c>
      <c r="H125" s="43">
        <v>1</v>
      </c>
      <c r="I125" s="42">
        <v>0</v>
      </c>
      <c r="J125" s="42">
        <v>0</v>
      </c>
      <c r="K125" s="42">
        <v>0</v>
      </c>
      <c r="L125" s="42">
        <v>1</v>
      </c>
    </row>
    <row r="126" ht="14.25" customHeight="1">
      <c r="A126" s="42" t="s">
        <v>15</v>
      </c>
      <c r="B126" s="43" t="s">
        <v>46</v>
      </c>
      <c r="C126" s="43">
        <v>1</v>
      </c>
      <c r="D126" s="43">
        <v>7</v>
      </c>
      <c r="E126" s="44">
        <v>-70.753407100000004</v>
      </c>
      <c r="F126" s="44">
        <v>-33.555201251</v>
      </c>
      <c r="G126" s="45">
        <v>13284.280000000001</v>
      </c>
      <c r="H126" s="43">
        <v>1</v>
      </c>
      <c r="I126" s="42">
        <v>0</v>
      </c>
      <c r="J126" s="42">
        <v>0</v>
      </c>
      <c r="K126" s="42">
        <v>0</v>
      </c>
      <c r="L126" s="42">
        <v>1</v>
      </c>
    </row>
    <row r="127" ht="14.25" customHeight="1">
      <c r="A127" s="42" t="s">
        <v>15</v>
      </c>
      <c r="B127" s="43" t="s">
        <v>46</v>
      </c>
      <c r="C127" s="43">
        <v>1</v>
      </c>
      <c r="D127" s="43">
        <v>8</v>
      </c>
      <c r="E127" s="44">
        <v>-70.770671699999994</v>
      </c>
      <c r="F127" s="44">
        <v>-33.575617000000001</v>
      </c>
      <c r="G127" s="45">
        <v>16061.77</v>
      </c>
      <c r="H127" s="43">
        <v>1</v>
      </c>
      <c r="I127" s="42">
        <v>0</v>
      </c>
      <c r="J127" s="42">
        <v>0</v>
      </c>
      <c r="K127" s="42">
        <v>0</v>
      </c>
      <c r="L127" s="42">
        <v>1</v>
      </c>
    </row>
    <row r="128" ht="14.25" customHeight="1">
      <c r="A128" s="42" t="s">
        <v>15</v>
      </c>
      <c r="B128" s="43" t="s">
        <v>46</v>
      </c>
      <c r="C128" s="43">
        <v>1</v>
      </c>
      <c r="D128" s="43">
        <v>9</v>
      </c>
      <c r="E128" s="44">
        <v>-70.781905699999996</v>
      </c>
      <c r="F128" s="44">
        <v>-33.592331499999901</v>
      </c>
      <c r="G128" s="45">
        <v>18192.110000000001</v>
      </c>
      <c r="H128" s="43">
        <v>1</v>
      </c>
      <c r="I128" s="42">
        <v>0</v>
      </c>
      <c r="J128" s="42">
        <v>0</v>
      </c>
      <c r="K128" s="42">
        <v>0</v>
      </c>
      <c r="L128" s="42">
        <v>1</v>
      </c>
    </row>
    <row r="129" ht="14.25" customHeight="1">
      <c r="A129" s="42" t="s">
        <v>15</v>
      </c>
      <c r="B129" s="43" t="s">
        <v>46</v>
      </c>
      <c r="C129" s="43">
        <v>1</v>
      </c>
      <c r="D129" s="43">
        <v>10</v>
      </c>
      <c r="E129" s="44">
        <v>-70.800586553000002</v>
      </c>
      <c r="F129" s="44">
        <v>-33.625140450999901</v>
      </c>
      <c r="G129" s="45">
        <v>22237.68</v>
      </c>
      <c r="H129" s="43">
        <v>1</v>
      </c>
      <c r="I129" s="42">
        <v>0</v>
      </c>
      <c r="J129" s="42">
        <v>0</v>
      </c>
      <c r="K129" s="42">
        <v>0</v>
      </c>
      <c r="L129" s="42">
        <v>1</v>
      </c>
    </row>
    <row r="130" ht="14.25" customHeight="1">
      <c r="A130" s="42" t="s">
        <v>15</v>
      </c>
      <c r="B130" s="43" t="s">
        <v>46</v>
      </c>
      <c r="C130" s="43">
        <v>1</v>
      </c>
      <c r="D130" s="43">
        <v>11</v>
      </c>
      <c r="E130" s="44">
        <v>-70.823290986999993</v>
      </c>
      <c r="F130" s="44">
        <v>-33.648216159</v>
      </c>
      <c r="G130" s="45">
        <v>25562</v>
      </c>
      <c r="H130" s="43">
        <v>1</v>
      </c>
      <c r="I130" s="42">
        <v>0</v>
      </c>
      <c r="J130" s="42">
        <v>0</v>
      </c>
      <c r="K130" s="42">
        <v>0</v>
      </c>
      <c r="L130" s="42">
        <v>1</v>
      </c>
    </row>
    <row r="131" ht="14.25" customHeight="1">
      <c r="A131" s="42" t="s">
        <v>15</v>
      </c>
      <c r="B131" s="43" t="s">
        <v>46</v>
      </c>
      <c r="C131" s="43">
        <v>1</v>
      </c>
      <c r="D131" s="43">
        <v>12</v>
      </c>
      <c r="E131" s="44">
        <v>-70.845687799999993</v>
      </c>
      <c r="F131" s="44">
        <v>-33.672180599999898</v>
      </c>
      <c r="G131" s="45">
        <v>28936.439999999999</v>
      </c>
      <c r="H131" s="43">
        <v>1</v>
      </c>
      <c r="I131" s="42">
        <v>0</v>
      </c>
      <c r="J131" s="42">
        <v>0</v>
      </c>
      <c r="K131" s="42">
        <v>0</v>
      </c>
      <c r="L131" s="42">
        <v>1</v>
      </c>
    </row>
    <row r="132" ht="14.25" customHeight="1">
      <c r="A132" s="42" t="s">
        <v>15</v>
      </c>
      <c r="B132" s="43" t="s">
        <v>46</v>
      </c>
      <c r="C132" s="43">
        <v>1</v>
      </c>
      <c r="D132" s="43">
        <v>13</v>
      </c>
      <c r="E132" s="44">
        <v>-70.854322949999997</v>
      </c>
      <c r="F132" s="44">
        <v>-33.714373236</v>
      </c>
      <c r="G132" s="45">
        <v>33984.980000000003</v>
      </c>
      <c r="H132" s="43">
        <v>1</v>
      </c>
      <c r="I132" s="42">
        <v>0</v>
      </c>
      <c r="J132" s="42">
        <v>0</v>
      </c>
      <c r="K132" s="42">
        <v>0</v>
      </c>
      <c r="L132" s="42">
        <v>1</v>
      </c>
    </row>
    <row r="133" ht="14.25" customHeight="1">
      <c r="A133" s="42" t="s">
        <v>15</v>
      </c>
      <c r="B133" s="43" t="s">
        <v>46</v>
      </c>
      <c r="C133" s="43">
        <v>1</v>
      </c>
      <c r="D133" s="43">
        <v>14</v>
      </c>
      <c r="E133" s="44">
        <v>-70.8608098939999</v>
      </c>
      <c r="F133" s="44">
        <v>-33.734223826999902</v>
      </c>
      <c r="G133" s="45">
        <v>36886.980000000003</v>
      </c>
      <c r="H133" s="43">
        <v>1</v>
      </c>
      <c r="I133" s="42">
        <v>0</v>
      </c>
      <c r="J133" s="42">
        <v>0</v>
      </c>
      <c r="K133" s="42">
        <v>0</v>
      </c>
      <c r="L133" s="42">
        <v>1</v>
      </c>
    </row>
    <row r="134" ht="14.25" customHeight="1">
      <c r="A134" s="42" t="s">
        <v>15</v>
      </c>
      <c r="B134" s="43" t="s">
        <v>46</v>
      </c>
      <c r="C134" s="43">
        <v>1</v>
      </c>
      <c r="D134" s="43">
        <v>15</v>
      </c>
      <c r="E134" s="44">
        <v>-70.864861262999995</v>
      </c>
      <c r="F134" s="44">
        <v>-33.733235862999997</v>
      </c>
      <c r="G134" s="45">
        <v>37299.800000000003</v>
      </c>
      <c r="H134" s="43">
        <v>1</v>
      </c>
      <c r="I134" s="42">
        <v>0</v>
      </c>
      <c r="J134" s="42">
        <v>0</v>
      </c>
      <c r="K134" s="42">
        <v>0</v>
      </c>
      <c r="L134" s="42">
        <v>1</v>
      </c>
    </row>
    <row r="135" ht="14.25" customHeight="1">
      <c r="A135" s="42" t="s">
        <v>15</v>
      </c>
      <c r="B135" s="43" t="s">
        <v>46</v>
      </c>
      <c r="C135" s="43">
        <v>1</v>
      </c>
      <c r="D135" s="43">
        <v>16</v>
      </c>
      <c r="E135" s="44">
        <v>-70.867229800000004</v>
      </c>
      <c r="F135" s="44">
        <v>-33.744292700000003</v>
      </c>
      <c r="G135" s="45">
        <v>39298.82</v>
      </c>
      <c r="H135" s="43">
        <v>1</v>
      </c>
      <c r="I135" s="42">
        <v>0</v>
      </c>
      <c r="J135" s="42">
        <v>0</v>
      </c>
      <c r="K135" s="42">
        <v>0</v>
      </c>
      <c r="L135" s="42">
        <v>1</v>
      </c>
    </row>
    <row r="136" ht="14.25" customHeight="1">
      <c r="A136" s="42" t="s">
        <v>15</v>
      </c>
      <c r="B136" s="43" t="s">
        <v>46</v>
      </c>
      <c r="C136" s="43">
        <v>1</v>
      </c>
      <c r="D136" s="43">
        <v>17</v>
      </c>
      <c r="E136" s="44">
        <v>-70.869513295999994</v>
      </c>
      <c r="F136" s="44">
        <v>-33.746704303999898</v>
      </c>
      <c r="G136" s="45">
        <v>40028.910000000003</v>
      </c>
      <c r="H136" s="43">
        <v>1</v>
      </c>
      <c r="I136" s="42">
        <v>0</v>
      </c>
      <c r="J136" s="42">
        <v>0</v>
      </c>
      <c r="K136" s="42">
        <v>0</v>
      </c>
      <c r="L136" s="42">
        <v>1</v>
      </c>
    </row>
    <row r="137" ht="14.25" customHeight="1">
      <c r="A137" s="42" t="s">
        <v>15</v>
      </c>
      <c r="B137" s="43" t="s">
        <v>46</v>
      </c>
      <c r="C137" s="43">
        <v>1</v>
      </c>
      <c r="D137" s="43">
        <v>18</v>
      </c>
      <c r="E137" s="44">
        <v>-70.894944049999907</v>
      </c>
      <c r="F137" s="44">
        <v>-33.755128699999901</v>
      </c>
      <c r="G137" s="45">
        <v>44040.540000000001</v>
      </c>
      <c r="H137" s="43">
        <v>1</v>
      </c>
      <c r="I137" s="42">
        <v>0</v>
      </c>
      <c r="J137" s="42">
        <v>0</v>
      </c>
      <c r="K137" s="42">
        <v>0</v>
      </c>
      <c r="L137" s="42">
        <v>1</v>
      </c>
    </row>
    <row r="138" ht="14.25" customHeight="1">
      <c r="A138" s="42" t="s">
        <v>15</v>
      </c>
      <c r="B138" s="43" t="s">
        <v>46</v>
      </c>
      <c r="C138" s="43">
        <v>1</v>
      </c>
      <c r="D138" s="43">
        <v>19</v>
      </c>
      <c r="E138" s="44">
        <v>-70.902571468999994</v>
      </c>
      <c r="F138" s="44">
        <v>-33.753002970999901</v>
      </c>
      <c r="G138" s="45">
        <v>45066.330000000002</v>
      </c>
      <c r="H138" s="43">
        <v>1</v>
      </c>
      <c r="I138" s="42">
        <v>0</v>
      </c>
      <c r="J138" s="42">
        <v>0</v>
      </c>
      <c r="K138" s="42">
        <v>0</v>
      </c>
      <c r="L138" s="42">
        <v>1</v>
      </c>
    </row>
    <row r="139" ht="14.25" customHeight="1">
      <c r="A139" s="42" t="s">
        <v>15</v>
      </c>
      <c r="B139" s="43" t="s">
        <v>46</v>
      </c>
      <c r="C139" s="43">
        <v>1</v>
      </c>
      <c r="D139" s="43">
        <v>20</v>
      </c>
      <c r="E139" s="44">
        <v>-70.906414100000006</v>
      </c>
      <c r="F139" s="44">
        <v>-33.739829399999998</v>
      </c>
      <c r="G139" s="45">
        <v>46986.18</v>
      </c>
      <c r="H139" s="43">
        <v>1</v>
      </c>
      <c r="I139" s="42">
        <v>1</v>
      </c>
      <c r="J139" s="42">
        <v>0</v>
      </c>
      <c r="K139" s="42">
        <v>0.10000000000000001</v>
      </c>
      <c r="L139" s="42">
        <v>1</v>
      </c>
    </row>
    <row r="140" ht="14.25" customHeight="1">
      <c r="A140" s="42" t="s">
        <v>15</v>
      </c>
      <c r="B140" s="43" t="s">
        <v>48</v>
      </c>
      <c r="C140" s="43">
        <v>0</v>
      </c>
      <c r="D140" s="43">
        <v>1</v>
      </c>
      <c r="E140" s="44">
        <v>-70.903927828999898</v>
      </c>
      <c r="F140" s="44">
        <v>-33.777787699999998</v>
      </c>
      <c r="G140" s="45">
        <v>328.38999999999999</v>
      </c>
      <c r="H140" s="43">
        <v>1</v>
      </c>
      <c r="I140" s="42">
        <v>1</v>
      </c>
      <c r="J140" s="42">
        <v>1</v>
      </c>
      <c r="K140" s="42">
        <v>0.80000000000000004</v>
      </c>
      <c r="L140" s="42">
        <v>1</v>
      </c>
    </row>
    <row r="141" ht="14.25" customHeight="1">
      <c r="A141" s="42" t="s">
        <v>15</v>
      </c>
      <c r="B141" s="43" t="s">
        <v>48</v>
      </c>
      <c r="C141" s="43">
        <v>0</v>
      </c>
      <c r="D141" s="43">
        <v>2</v>
      </c>
      <c r="E141" s="44">
        <v>-70.901523349999906</v>
      </c>
      <c r="F141" s="44">
        <v>-33.751682299999999</v>
      </c>
      <c r="G141" s="45">
        <v>3766.04</v>
      </c>
      <c r="H141" s="43">
        <v>1</v>
      </c>
      <c r="I141" s="42">
        <v>1</v>
      </c>
      <c r="J141" s="42">
        <v>0</v>
      </c>
      <c r="K141" s="42">
        <v>0.10000000000000001</v>
      </c>
      <c r="L141" s="42">
        <v>1</v>
      </c>
    </row>
    <row r="142" ht="14.25" customHeight="1">
      <c r="A142" s="42" t="s">
        <v>15</v>
      </c>
      <c r="B142" s="43" t="s">
        <v>48</v>
      </c>
      <c r="C142" s="43">
        <v>0</v>
      </c>
      <c r="D142" s="43">
        <v>3</v>
      </c>
      <c r="E142" s="44">
        <v>-70.897941136</v>
      </c>
      <c r="F142" s="44">
        <v>-33.749455756000003</v>
      </c>
      <c r="G142" s="45">
        <v>4289.3299999999999</v>
      </c>
      <c r="H142" s="43">
        <v>1</v>
      </c>
      <c r="I142" s="42">
        <v>0</v>
      </c>
      <c r="J142" s="42">
        <v>0</v>
      </c>
      <c r="K142" s="42">
        <v>0</v>
      </c>
      <c r="L142" s="42">
        <v>1</v>
      </c>
    </row>
    <row r="143" ht="14.25" customHeight="1">
      <c r="A143" s="42" t="s">
        <v>15</v>
      </c>
      <c r="B143" s="43" t="s">
        <v>48</v>
      </c>
      <c r="C143" s="43">
        <v>0</v>
      </c>
      <c r="D143" s="43">
        <v>4</v>
      </c>
      <c r="E143" s="44">
        <v>-70.916489549999895</v>
      </c>
      <c r="F143" s="44">
        <v>-33.732597851000001</v>
      </c>
      <c r="G143" s="45">
        <v>7380.8800000000001</v>
      </c>
      <c r="H143" s="43">
        <v>1</v>
      </c>
      <c r="I143" s="42">
        <v>0</v>
      </c>
      <c r="J143" s="42">
        <v>0</v>
      </c>
      <c r="K143" s="42">
        <v>0</v>
      </c>
      <c r="L143" s="42">
        <v>1</v>
      </c>
    </row>
    <row r="144" ht="14.25" customHeight="1">
      <c r="A144" s="42" t="s">
        <v>15</v>
      </c>
      <c r="B144" s="43" t="s">
        <v>48</v>
      </c>
      <c r="C144" s="43">
        <v>0</v>
      </c>
      <c r="D144" s="43">
        <v>5</v>
      </c>
      <c r="E144" s="44">
        <v>-70.925537216999899</v>
      </c>
      <c r="F144" s="44">
        <v>-33.685309823999901</v>
      </c>
      <c r="G144" s="45">
        <v>13504.74</v>
      </c>
      <c r="H144" s="43">
        <v>1</v>
      </c>
      <c r="I144" s="42">
        <v>0</v>
      </c>
      <c r="J144" s="42">
        <v>0</v>
      </c>
      <c r="K144" s="42">
        <v>0</v>
      </c>
      <c r="L144" s="42">
        <v>1</v>
      </c>
    </row>
    <row r="145" ht="14.25" customHeight="1">
      <c r="A145" s="42" t="s">
        <v>15</v>
      </c>
      <c r="B145" s="43" t="s">
        <v>48</v>
      </c>
      <c r="C145" s="43">
        <v>0</v>
      </c>
      <c r="D145" s="43">
        <v>6</v>
      </c>
      <c r="E145" s="44">
        <v>-70.926505700000007</v>
      </c>
      <c r="F145" s="44">
        <v>-33.670329299999899</v>
      </c>
      <c r="G145" s="45">
        <v>15344.99</v>
      </c>
      <c r="H145" s="43">
        <v>1</v>
      </c>
      <c r="I145" s="42">
        <v>0</v>
      </c>
      <c r="J145" s="42">
        <v>0</v>
      </c>
      <c r="K145" s="42">
        <v>0</v>
      </c>
      <c r="L145" s="42">
        <v>1</v>
      </c>
    </row>
    <row r="146" ht="14.25" customHeight="1">
      <c r="A146" s="42" t="s">
        <v>15</v>
      </c>
      <c r="B146" s="43" t="s">
        <v>48</v>
      </c>
      <c r="C146" s="43">
        <v>0</v>
      </c>
      <c r="D146" s="43">
        <v>7</v>
      </c>
      <c r="E146" s="44">
        <v>-70.926929599999895</v>
      </c>
      <c r="F146" s="44">
        <v>-33.6643609999999</v>
      </c>
      <c r="G146" s="45">
        <v>16236.030000000001</v>
      </c>
      <c r="H146" s="43">
        <v>1</v>
      </c>
      <c r="I146" s="42">
        <v>0</v>
      </c>
      <c r="J146" s="42">
        <v>0</v>
      </c>
      <c r="K146" s="42">
        <v>0</v>
      </c>
      <c r="L146" s="42">
        <v>1</v>
      </c>
    </row>
    <row r="147" ht="14.25" customHeight="1">
      <c r="A147" s="42" t="s">
        <v>15</v>
      </c>
      <c r="B147" s="43" t="s">
        <v>48</v>
      </c>
      <c r="C147" s="43">
        <v>0</v>
      </c>
      <c r="D147" s="43">
        <v>8</v>
      </c>
      <c r="E147" s="44">
        <v>-70.883139900000003</v>
      </c>
      <c r="F147" s="44">
        <v>-33.644064899999897</v>
      </c>
      <c r="G147" s="45">
        <v>21086.630000000001</v>
      </c>
      <c r="H147" s="43">
        <v>1</v>
      </c>
      <c r="I147" s="42">
        <v>0</v>
      </c>
      <c r="J147" s="42">
        <v>0</v>
      </c>
      <c r="K147" s="42">
        <v>0</v>
      </c>
      <c r="L147" s="42">
        <v>1</v>
      </c>
    </row>
    <row r="148" ht="14.25" customHeight="1">
      <c r="A148" s="42" t="s">
        <v>15</v>
      </c>
      <c r="B148" s="43" t="s">
        <v>48</v>
      </c>
      <c r="C148" s="43">
        <v>0</v>
      </c>
      <c r="D148" s="43">
        <v>9</v>
      </c>
      <c r="E148" s="44">
        <v>-70.848190099999997</v>
      </c>
      <c r="F148" s="44">
        <v>-33.6035155</v>
      </c>
      <c r="G148" s="45">
        <v>27115.830000000002</v>
      </c>
      <c r="H148" s="43">
        <v>1</v>
      </c>
      <c r="I148" s="42">
        <v>0</v>
      </c>
      <c r="J148" s="42">
        <v>0</v>
      </c>
      <c r="K148" s="42">
        <v>0</v>
      </c>
      <c r="L148" s="42">
        <v>1</v>
      </c>
    </row>
    <row r="149" ht="14.25" customHeight="1">
      <c r="A149" s="42" t="s">
        <v>15</v>
      </c>
      <c r="B149" s="43" t="s">
        <v>48</v>
      </c>
      <c r="C149" s="43">
        <v>0</v>
      </c>
      <c r="D149" s="43">
        <v>10</v>
      </c>
      <c r="E149" s="44">
        <v>-70.787090099999901</v>
      </c>
      <c r="F149" s="44">
        <v>-33.5481397</v>
      </c>
      <c r="G149" s="45">
        <v>35596.050000000003</v>
      </c>
      <c r="H149" s="43">
        <v>1</v>
      </c>
      <c r="I149" s="42">
        <v>0</v>
      </c>
      <c r="J149" s="42">
        <v>0</v>
      </c>
      <c r="K149" s="42">
        <v>0</v>
      </c>
      <c r="L149" s="42">
        <v>1</v>
      </c>
    </row>
    <row r="150" ht="14.25" customHeight="1">
      <c r="A150" s="42" t="s">
        <v>15</v>
      </c>
      <c r="B150" s="43" t="s">
        <v>48</v>
      </c>
      <c r="C150" s="43">
        <v>0</v>
      </c>
      <c r="D150" s="43">
        <v>11</v>
      </c>
      <c r="E150" s="44">
        <v>-70.749839399999999</v>
      </c>
      <c r="F150" s="44">
        <v>-33.5237286999999</v>
      </c>
      <c r="G150" s="45">
        <v>39993.540000000001</v>
      </c>
      <c r="H150" s="43">
        <v>1</v>
      </c>
      <c r="I150" s="42">
        <v>0</v>
      </c>
      <c r="J150" s="42">
        <v>0</v>
      </c>
      <c r="K150" s="42">
        <v>0</v>
      </c>
      <c r="L150" s="42">
        <v>1</v>
      </c>
    </row>
    <row r="151" ht="14.25" customHeight="1">
      <c r="A151" s="42" t="s">
        <v>15</v>
      </c>
      <c r="B151" s="43" t="s">
        <v>48</v>
      </c>
      <c r="C151" s="43">
        <v>0</v>
      </c>
      <c r="D151" s="43">
        <v>12</v>
      </c>
      <c r="E151" s="44">
        <v>-70.712202099999999</v>
      </c>
      <c r="F151" s="44">
        <v>-33.504826700000002</v>
      </c>
      <c r="G151" s="45">
        <v>44082.360000000001</v>
      </c>
      <c r="H151" s="43">
        <v>1</v>
      </c>
      <c r="I151" s="42">
        <v>0</v>
      </c>
      <c r="J151" s="42">
        <v>0</v>
      </c>
      <c r="K151" s="42">
        <v>0</v>
      </c>
      <c r="L151" s="42">
        <v>1</v>
      </c>
    </row>
    <row r="152" ht="14.25" customHeight="1">
      <c r="A152" s="42" t="s">
        <v>15</v>
      </c>
      <c r="B152" s="43" t="s">
        <v>48</v>
      </c>
      <c r="C152" s="43">
        <v>0</v>
      </c>
      <c r="D152" s="43">
        <v>13</v>
      </c>
      <c r="E152" s="44">
        <v>-70.699617500000002</v>
      </c>
      <c r="F152" s="44">
        <v>-33.487768148999997</v>
      </c>
      <c r="G152" s="45">
        <v>46313.610000000001</v>
      </c>
      <c r="H152" s="43">
        <v>1</v>
      </c>
      <c r="I152" s="42">
        <v>0</v>
      </c>
      <c r="J152" s="42">
        <v>0</v>
      </c>
      <c r="K152" s="42">
        <v>0</v>
      </c>
      <c r="L152" s="42">
        <v>1</v>
      </c>
    </row>
    <row r="153" ht="14.25" customHeight="1">
      <c r="A153" s="42" t="s">
        <v>15</v>
      </c>
      <c r="B153" s="43" t="s">
        <v>48</v>
      </c>
      <c r="C153" s="43">
        <v>0</v>
      </c>
      <c r="D153" s="43">
        <v>14</v>
      </c>
      <c r="E153" s="44">
        <v>-70.684373829999998</v>
      </c>
      <c r="F153" s="44">
        <v>-33.464604594000001</v>
      </c>
      <c r="G153" s="45">
        <v>50174.209999999999</v>
      </c>
      <c r="H153" s="43">
        <v>1</v>
      </c>
      <c r="I153" s="42">
        <v>0</v>
      </c>
      <c r="J153" s="42">
        <v>0</v>
      </c>
      <c r="K153" s="42">
        <v>0</v>
      </c>
      <c r="L153" s="42">
        <v>1</v>
      </c>
    </row>
    <row r="154" ht="14.25" customHeight="1">
      <c r="A154" s="42" t="s">
        <v>15</v>
      </c>
      <c r="B154" s="43" t="s">
        <v>48</v>
      </c>
      <c r="C154" s="43">
        <v>0</v>
      </c>
      <c r="D154" s="43">
        <v>15</v>
      </c>
      <c r="E154" s="44">
        <v>-70.682318100000003</v>
      </c>
      <c r="F154" s="44">
        <v>-33.454848400000003</v>
      </c>
      <c r="G154" s="45">
        <v>51354.150000000001</v>
      </c>
      <c r="H154" s="43">
        <v>1</v>
      </c>
      <c r="I154" s="42">
        <v>1</v>
      </c>
      <c r="J154" s="42">
        <v>0</v>
      </c>
      <c r="K154" s="42">
        <v>0.10000000000000001</v>
      </c>
      <c r="L154" s="42">
        <v>1</v>
      </c>
    </row>
    <row r="155" ht="14.25" customHeight="1">
      <c r="A155" s="42" t="s">
        <v>15</v>
      </c>
      <c r="B155" s="43" t="s">
        <v>49</v>
      </c>
      <c r="C155" s="43">
        <v>0</v>
      </c>
      <c r="D155" s="43">
        <v>1</v>
      </c>
      <c r="E155" s="44">
        <v>-71.056903392999999</v>
      </c>
      <c r="F155" s="44">
        <v>-33.689733832999899</v>
      </c>
      <c r="G155" s="45">
        <v>1438.98</v>
      </c>
      <c r="H155" s="43">
        <v>1</v>
      </c>
      <c r="I155" s="42">
        <v>1</v>
      </c>
      <c r="J155" s="42">
        <v>1</v>
      </c>
      <c r="K155" s="42">
        <v>0.80000000000000004</v>
      </c>
      <c r="L155" s="42">
        <v>1</v>
      </c>
    </row>
    <row r="156" ht="14.25" customHeight="1">
      <c r="A156" s="42" t="s">
        <v>15</v>
      </c>
      <c r="B156" s="43" t="s">
        <v>49</v>
      </c>
      <c r="C156" s="43">
        <v>0</v>
      </c>
      <c r="D156" s="43">
        <v>2</v>
      </c>
      <c r="E156" s="44">
        <v>-71.028388000000007</v>
      </c>
      <c r="F156" s="44">
        <v>-33.687192600000003</v>
      </c>
      <c r="G156" s="45">
        <v>4104.9099999999999</v>
      </c>
      <c r="H156" s="43">
        <v>1</v>
      </c>
      <c r="I156" s="42">
        <v>1</v>
      </c>
      <c r="J156" s="42">
        <v>0</v>
      </c>
      <c r="K156" s="42">
        <v>0.10000000000000001</v>
      </c>
      <c r="L156" s="42">
        <v>1</v>
      </c>
    </row>
    <row r="157" ht="14.25" customHeight="1">
      <c r="A157" s="42" t="s">
        <v>15</v>
      </c>
      <c r="B157" s="43" t="s">
        <v>49</v>
      </c>
      <c r="C157" s="43">
        <v>0</v>
      </c>
      <c r="D157" s="43">
        <v>3</v>
      </c>
      <c r="E157" s="44">
        <v>-70.977940599999997</v>
      </c>
      <c r="F157" s="44">
        <v>-33.678171099999901</v>
      </c>
      <c r="G157" s="45">
        <v>9287.2000000000007</v>
      </c>
      <c r="H157" s="43">
        <v>1</v>
      </c>
      <c r="I157" s="42">
        <v>0</v>
      </c>
      <c r="J157" s="42">
        <v>0</v>
      </c>
      <c r="K157" s="42">
        <v>0</v>
      </c>
      <c r="L157" s="42">
        <v>1</v>
      </c>
    </row>
    <row r="158" ht="14.25" customHeight="1">
      <c r="A158" s="42" t="s">
        <v>15</v>
      </c>
      <c r="B158" s="43" t="s">
        <v>49</v>
      </c>
      <c r="C158" s="43">
        <v>0</v>
      </c>
      <c r="D158" s="43">
        <v>4</v>
      </c>
      <c r="E158" s="44">
        <v>-70.985542962999901</v>
      </c>
      <c r="F158" s="44">
        <v>-33.678520022999997</v>
      </c>
      <c r="G158" s="45">
        <v>10119.700000000001</v>
      </c>
      <c r="H158" s="43">
        <v>1</v>
      </c>
      <c r="I158" s="42">
        <v>0</v>
      </c>
      <c r="J158" s="42">
        <v>0</v>
      </c>
      <c r="K158" s="42">
        <v>0</v>
      </c>
      <c r="L158" s="42">
        <v>1</v>
      </c>
    </row>
    <row r="159" ht="14.25" customHeight="1">
      <c r="A159" s="42" t="s">
        <v>15</v>
      </c>
      <c r="B159" s="43" t="s">
        <v>49</v>
      </c>
      <c r="C159" s="43">
        <v>0</v>
      </c>
      <c r="D159" s="43">
        <v>5</v>
      </c>
      <c r="E159" s="44">
        <v>-70.956221483999997</v>
      </c>
      <c r="F159" s="44">
        <v>-33.678663250999897</v>
      </c>
      <c r="G159" s="45">
        <v>14238.4</v>
      </c>
      <c r="H159" s="43">
        <v>1</v>
      </c>
      <c r="I159" s="42">
        <v>0</v>
      </c>
      <c r="J159" s="42">
        <v>0</v>
      </c>
      <c r="K159" s="42">
        <v>0</v>
      </c>
      <c r="L159" s="42">
        <v>1</v>
      </c>
    </row>
    <row r="160" ht="14.25" customHeight="1">
      <c r="A160" s="42" t="s">
        <v>15</v>
      </c>
      <c r="B160" s="43" t="s">
        <v>49</v>
      </c>
      <c r="C160" s="43">
        <v>0</v>
      </c>
      <c r="D160" s="43">
        <v>6</v>
      </c>
      <c r="E160" s="44">
        <v>-70.941429799999995</v>
      </c>
      <c r="F160" s="44">
        <v>-33.670509799999898</v>
      </c>
      <c r="G160" s="45">
        <v>15902.950000000001</v>
      </c>
      <c r="H160" s="43">
        <v>1</v>
      </c>
      <c r="I160" s="42">
        <v>0</v>
      </c>
      <c r="J160" s="42">
        <v>0</v>
      </c>
      <c r="K160" s="42">
        <v>0</v>
      </c>
      <c r="L160" s="42">
        <v>1</v>
      </c>
    </row>
    <row r="161" ht="14.25" customHeight="1">
      <c r="A161" s="42" t="s">
        <v>15</v>
      </c>
      <c r="B161" s="43" t="s">
        <v>49</v>
      </c>
      <c r="C161" s="43">
        <v>0</v>
      </c>
      <c r="D161" s="43">
        <v>7</v>
      </c>
      <c r="E161" s="44">
        <v>-70.935133226000005</v>
      </c>
      <c r="F161" s="44">
        <v>-33.666558639000002</v>
      </c>
      <c r="G161" s="45">
        <v>16646.599999999999</v>
      </c>
      <c r="H161" s="43">
        <v>1</v>
      </c>
      <c r="I161" s="42">
        <v>0</v>
      </c>
      <c r="J161" s="42">
        <v>0</v>
      </c>
      <c r="K161" s="42">
        <v>0</v>
      </c>
      <c r="L161" s="42">
        <v>1</v>
      </c>
    </row>
    <row r="162" ht="14.25" customHeight="1">
      <c r="A162" s="42" t="s">
        <v>15</v>
      </c>
      <c r="B162" s="43" t="s">
        <v>49</v>
      </c>
      <c r="C162" s="43">
        <v>0</v>
      </c>
      <c r="D162" s="43">
        <v>8</v>
      </c>
      <c r="E162" s="44">
        <v>-70.928875000000005</v>
      </c>
      <c r="F162" s="44">
        <v>-33.665180200000002</v>
      </c>
      <c r="G162" s="45">
        <v>17355.290000000001</v>
      </c>
      <c r="H162" s="43">
        <v>1</v>
      </c>
      <c r="I162" s="42">
        <v>0</v>
      </c>
      <c r="J162" s="42">
        <v>0</v>
      </c>
      <c r="K162" s="42">
        <v>0</v>
      </c>
      <c r="L162" s="42">
        <v>1</v>
      </c>
    </row>
    <row r="163" ht="14.25" customHeight="1">
      <c r="A163" s="42" t="s">
        <v>15</v>
      </c>
      <c r="B163" s="43" t="s">
        <v>49</v>
      </c>
      <c r="C163" s="43">
        <v>0</v>
      </c>
      <c r="D163" s="43">
        <v>9</v>
      </c>
      <c r="E163" s="44">
        <v>-70.926532849999901</v>
      </c>
      <c r="F163" s="44">
        <v>-33.664195800000002</v>
      </c>
      <c r="G163" s="45">
        <v>17598.439999999999</v>
      </c>
      <c r="H163" s="43">
        <v>1</v>
      </c>
      <c r="I163" s="42">
        <v>0</v>
      </c>
      <c r="J163" s="42">
        <v>0</v>
      </c>
      <c r="K163" s="42">
        <v>0</v>
      </c>
      <c r="L163" s="42">
        <v>1</v>
      </c>
    </row>
    <row r="164" ht="14.25" customHeight="1">
      <c r="A164" s="42" t="s">
        <v>15</v>
      </c>
      <c r="B164" s="43" t="s">
        <v>49</v>
      </c>
      <c r="C164" s="43">
        <v>0</v>
      </c>
      <c r="D164" s="43">
        <v>10</v>
      </c>
      <c r="E164" s="44">
        <v>-70.881854500000003</v>
      </c>
      <c r="F164" s="44">
        <v>-33.642321500000001</v>
      </c>
      <c r="G164" s="45">
        <v>22635.110000000001</v>
      </c>
      <c r="H164" s="43">
        <v>1</v>
      </c>
      <c r="I164" s="42">
        <v>0</v>
      </c>
      <c r="J164" s="42">
        <v>0</v>
      </c>
      <c r="K164" s="42">
        <v>0</v>
      </c>
      <c r="L164" s="42">
        <v>1</v>
      </c>
    </row>
    <row r="165" ht="14.25" customHeight="1">
      <c r="A165" s="42" t="s">
        <v>15</v>
      </c>
      <c r="B165" s="43" t="s">
        <v>49</v>
      </c>
      <c r="C165" s="43">
        <v>0</v>
      </c>
      <c r="D165" s="43">
        <v>11</v>
      </c>
      <c r="E165" s="44">
        <v>-70.854623500000002</v>
      </c>
      <c r="F165" s="44">
        <v>-33.606834499999898</v>
      </c>
      <c r="G165" s="45">
        <v>27315.57</v>
      </c>
      <c r="H165" s="43">
        <v>1</v>
      </c>
      <c r="I165" s="42">
        <v>0</v>
      </c>
      <c r="J165" s="42">
        <v>0</v>
      </c>
      <c r="K165" s="42">
        <v>0</v>
      </c>
      <c r="L165" s="42">
        <v>1</v>
      </c>
    </row>
    <row r="166" ht="14.25" customHeight="1">
      <c r="A166" s="42" t="s">
        <v>15</v>
      </c>
      <c r="B166" s="43" t="s">
        <v>49</v>
      </c>
      <c r="C166" s="43">
        <v>0</v>
      </c>
      <c r="D166" s="43">
        <v>12</v>
      </c>
      <c r="E166" s="44">
        <v>-70.815134548999893</v>
      </c>
      <c r="F166" s="44">
        <v>-33.569185049999902</v>
      </c>
      <c r="G166" s="45">
        <v>33418.25</v>
      </c>
      <c r="H166" s="43">
        <v>1</v>
      </c>
      <c r="I166" s="42">
        <v>0</v>
      </c>
      <c r="J166" s="42">
        <v>0</v>
      </c>
      <c r="K166" s="42">
        <v>0</v>
      </c>
      <c r="L166" s="42">
        <v>1</v>
      </c>
    </row>
    <row r="167" ht="14.25" customHeight="1">
      <c r="A167" s="42" t="s">
        <v>15</v>
      </c>
      <c r="B167" s="43" t="s">
        <v>49</v>
      </c>
      <c r="C167" s="43">
        <v>0</v>
      </c>
      <c r="D167" s="43">
        <v>13</v>
      </c>
      <c r="E167" s="44">
        <v>-70.778775949999996</v>
      </c>
      <c r="F167" s="44">
        <v>-33.542416499999902</v>
      </c>
      <c r="G167" s="45">
        <v>37916.93</v>
      </c>
      <c r="H167" s="43">
        <v>1</v>
      </c>
      <c r="I167" s="42">
        <v>0</v>
      </c>
      <c r="J167" s="42">
        <v>0</v>
      </c>
      <c r="K167" s="42">
        <v>0</v>
      </c>
      <c r="L167" s="42">
        <v>1</v>
      </c>
    </row>
    <row r="168" ht="14.25" customHeight="1">
      <c r="A168" s="42" t="s">
        <v>15</v>
      </c>
      <c r="B168" s="43" t="s">
        <v>49</v>
      </c>
      <c r="C168" s="43">
        <v>0</v>
      </c>
      <c r="D168" s="43">
        <v>14</v>
      </c>
      <c r="E168" s="44">
        <v>-70.741269900000006</v>
      </c>
      <c r="F168" s="44">
        <v>-33.519086799999997</v>
      </c>
      <c r="G168" s="45">
        <v>42262.830000000002</v>
      </c>
      <c r="H168" s="43">
        <v>1</v>
      </c>
      <c r="I168" s="42">
        <v>0</v>
      </c>
      <c r="J168" s="42">
        <v>0</v>
      </c>
      <c r="K168" s="42">
        <v>0</v>
      </c>
      <c r="L168" s="42">
        <v>1</v>
      </c>
    </row>
    <row r="169" ht="14.25" customHeight="1">
      <c r="A169" s="42" t="s">
        <v>15</v>
      </c>
      <c r="B169" s="43" t="s">
        <v>49</v>
      </c>
      <c r="C169" s="43">
        <v>0</v>
      </c>
      <c r="D169" s="43">
        <v>15</v>
      </c>
      <c r="E169" s="44">
        <v>-70.713802199</v>
      </c>
      <c r="F169" s="44">
        <v>-33.5164525</v>
      </c>
      <c r="G169" s="45">
        <v>45320.550000000003</v>
      </c>
      <c r="H169" s="43">
        <v>1</v>
      </c>
      <c r="I169" s="42">
        <v>0</v>
      </c>
      <c r="J169" s="42">
        <v>0</v>
      </c>
      <c r="K169" s="42">
        <v>0</v>
      </c>
      <c r="L169" s="42">
        <v>0</v>
      </c>
    </row>
    <row r="170" ht="14.25" customHeight="1">
      <c r="A170" s="42" t="s">
        <v>15</v>
      </c>
      <c r="B170" s="43" t="s">
        <v>49</v>
      </c>
      <c r="C170" s="43">
        <v>0</v>
      </c>
      <c r="D170" s="43">
        <v>16</v>
      </c>
      <c r="E170" s="44">
        <v>-70.691914499999896</v>
      </c>
      <c r="F170" s="44">
        <v>-33.527234460999999</v>
      </c>
      <c r="G170" s="45">
        <v>47706.599999999999</v>
      </c>
      <c r="H170" s="43">
        <v>1</v>
      </c>
      <c r="I170" s="42">
        <v>0</v>
      </c>
      <c r="J170" s="42">
        <v>0</v>
      </c>
      <c r="K170" s="42">
        <v>0</v>
      </c>
      <c r="L170" s="42">
        <v>0</v>
      </c>
    </row>
    <row r="171" ht="14.25" customHeight="1">
      <c r="A171" s="42" t="s">
        <v>15</v>
      </c>
      <c r="B171" s="43" t="s">
        <v>49</v>
      </c>
      <c r="C171" s="43">
        <v>0</v>
      </c>
      <c r="D171" s="43">
        <v>17</v>
      </c>
      <c r="E171" s="44">
        <v>-70.638876600000003</v>
      </c>
      <c r="F171" s="44">
        <v>-33.541898799999998</v>
      </c>
      <c r="G171" s="45">
        <v>52936.139999999999</v>
      </c>
      <c r="H171" s="43">
        <v>1</v>
      </c>
      <c r="I171" s="42">
        <v>0</v>
      </c>
      <c r="J171" s="42">
        <v>0</v>
      </c>
      <c r="K171" s="42">
        <v>0</v>
      </c>
      <c r="L171" s="42">
        <v>0</v>
      </c>
    </row>
    <row r="172" ht="14.25" customHeight="1">
      <c r="A172" s="42" t="s">
        <v>15</v>
      </c>
      <c r="B172" s="43" t="s">
        <v>49</v>
      </c>
      <c r="C172" s="43">
        <v>0</v>
      </c>
      <c r="D172" s="43">
        <v>18</v>
      </c>
      <c r="E172" s="44">
        <v>-70.599005500000004</v>
      </c>
      <c r="F172" s="44">
        <v>-33.523494200000002</v>
      </c>
      <c r="G172" s="45">
        <v>57726.699999999997</v>
      </c>
      <c r="H172" s="43">
        <v>1</v>
      </c>
      <c r="I172" s="42">
        <v>1</v>
      </c>
      <c r="J172" s="42">
        <v>0</v>
      </c>
      <c r="K172" s="42">
        <v>0.10000000000000001</v>
      </c>
      <c r="L172" s="42">
        <v>1</v>
      </c>
    </row>
    <row r="173" ht="14.25" customHeight="1">
      <c r="A173" s="42" t="s">
        <v>15</v>
      </c>
      <c r="B173" s="43" t="s">
        <v>49</v>
      </c>
      <c r="C173" s="43">
        <v>1</v>
      </c>
      <c r="D173" s="43">
        <v>1</v>
      </c>
      <c r="E173" s="44">
        <v>-70.596289499999997</v>
      </c>
      <c r="F173" s="44">
        <v>-33.519235199999997</v>
      </c>
      <c r="G173" s="45">
        <v>127.77</v>
      </c>
      <c r="H173" s="43">
        <v>1</v>
      </c>
      <c r="I173" s="42">
        <v>1</v>
      </c>
      <c r="J173" s="42">
        <v>1</v>
      </c>
      <c r="K173" s="42">
        <v>0.80000000000000004</v>
      </c>
      <c r="L173" s="42">
        <v>1</v>
      </c>
    </row>
    <row r="174" ht="14.25" customHeight="1">
      <c r="A174" s="42" t="s">
        <v>15</v>
      </c>
      <c r="B174" s="43" t="s">
        <v>49</v>
      </c>
      <c r="C174" s="43">
        <v>1</v>
      </c>
      <c r="D174" s="43">
        <v>2</v>
      </c>
      <c r="E174" s="44">
        <v>-70.603375474000003</v>
      </c>
      <c r="F174" s="44">
        <v>-33.527590116999903</v>
      </c>
      <c r="G174" s="45">
        <v>1284.29</v>
      </c>
      <c r="H174" s="43">
        <v>1</v>
      </c>
      <c r="I174" s="42">
        <v>1</v>
      </c>
      <c r="J174" s="42">
        <v>0</v>
      </c>
      <c r="K174" s="42">
        <v>0.10000000000000001</v>
      </c>
      <c r="L174" s="42">
        <v>0</v>
      </c>
    </row>
    <row r="175" ht="14.25" customHeight="1">
      <c r="A175" s="42" t="s">
        <v>15</v>
      </c>
      <c r="B175" s="43" t="s">
        <v>49</v>
      </c>
      <c r="C175" s="43">
        <v>1</v>
      </c>
      <c r="D175" s="43">
        <v>3</v>
      </c>
      <c r="E175" s="44">
        <v>-70.633676480999995</v>
      </c>
      <c r="F175" s="44">
        <v>-33.542328816999898</v>
      </c>
      <c r="G175" s="45">
        <v>4948.6400000000003</v>
      </c>
      <c r="H175" s="43">
        <v>1</v>
      </c>
      <c r="I175" s="42">
        <v>0</v>
      </c>
      <c r="J175" s="42">
        <v>0</v>
      </c>
      <c r="K175" s="42">
        <v>0</v>
      </c>
      <c r="L175" s="42">
        <v>0</v>
      </c>
    </row>
    <row r="176" ht="14.25" customHeight="1">
      <c r="A176" s="42" t="s">
        <v>15</v>
      </c>
      <c r="B176" s="43" t="s">
        <v>49</v>
      </c>
      <c r="C176" s="43">
        <v>1</v>
      </c>
      <c r="D176" s="43">
        <v>4</v>
      </c>
      <c r="E176" s="44">
        <v>-70.69988309</v>
      </c>
      <c r="F176" s="44">
        <v>-33.52191758</v>
      </c>
      <c r="G176" s="45">
        <v>11604.68</v>
      </c>
      <c r="H176" s="43">
        <v>1</v>
      </c>
      <c r="I176" s="42">
        <v>0</v>
      </c>
      <c r="J176" s="42">
        <v>0</v>
      </c>
      <c r="K176" s="42">
        <v>0</v>
      </c>
      <c r="L176" s="42">
        <v>0</v>
      </c>
    </row>
    <row r="177" ht="14.25" customHeight="1">
      <c r="A177" s="42" t="s">
        <v>15</v>
      </c>
      <c r="B177" s="43" t="s">
        <v>49</v>
      </c>
      <c r="C177" s="43">
        <v>1</v>
      </c>
      <c r="D177" s="43">
        <v>5</v>
      </c>
      <c r="E177" s="44">
        <v>-70.712264316000002</v>
      </c>
      <c r="F177" s="44">
        <v>-33.516668500999998</v>
      </c>
      <c r="G177" s="45">
        <v>12902.440000000001</v>
      </c>
      <c r="H177" s="43">
        <v>1</v>
      </c>
      <c r="I177" s="42">
        <v>0</v>
      </c>
      <c r="J177" s="42">
        <v>0</v>
      </c>
      <c r="K177" s="42">
        <v>0</v>
      </c>
      <c r="L177" s="42">
        <v>0</v>
      </c>
    </row>
    <row r="178" ht="14.25" customHeight="1">
      <c r="A178" s="42" t="s">
        <v>15</v>
      </c>
      <c r="B178" s="43" t="s">
        <v>49</v>
      </c>
      <c r="C178" s="43">
        <v>1</v>
      </c>
      <c r="D178" s="43">
        <v>6</v>
      </c>
      <c r="E178" s="44">
        <v>-70.745661475999995</v>
      </c>
      <c r="F178" s="44">
        <v>-33.5212988279999</v>
      </c>
      <c r="G178" s="45">
        <v>20673.709999999999</v>
      </c>
      <c r="H178" s="43">
        <v>1</v>
      </c>
      <c r="I178" s="42">
        <v>0</v>
      </c>
      <c r="J178" s="42">
        <v>0</v>
      </c>
      <c r="K178" s="42">
        <v>0</v>
      </c>
      <c r="L178" s="42">
        <v>1</v>
      </c>
    </row>
    <row r="179" ht="14.25" customHeight="1">
      <c r="A179" s="42" t="s">
        <v>15</v>
      </c>
      <c r="B179" s="43" t="s">
        <v>49</v>
      </c>
      <c r="C179" s="43">
        <v>1</v>
      </c>
      <c r="D179" s="43">
        <v>7</v>
      </c>
      <c r="E179" s="44">
        <v>-70.816223249999993</v>
      </c>
      <c r="F179" s="44">
        <v>-33.569836801000001</v>
      </c>
      <c r="G179" s="45">
        <v>29168.450000000001</v>
      </c>
      <c r="H179" s="43">
        <v>1</v>
      </c>
      <c r="I179" s="42">
        <v>0</v>
      </c>
      <c r="J179" s="42">
        <v>0</v>
      </c>
      <c r="K179" s="42">
        <v>0</v>
      </c>
      <c r="L179" s="42">
        <v>1</v>
      </c>
    </row>
    <row r="180" ht="14.25" customHeight="1">
      <c r="A180" s="42" t="s">
        <v>15</v>
      </c>
      <c r="B180" s="43" t="s">
        <v>49</v>
      </c>
      <c r="C180" s="43">
        <v>1</v>
      </c>
      <c r="D180" s="43">
        <v>8</v>
      </c>
      <c r="E180" s="44">
        <v>-70.851849751000003</v>
      </c>
      <c r="F180" s="44">
        <v>-33.603941800999998</v>
      </c>
      <c r="G180" s="45">
        <v>34246.010000000002</v>
      </c>
      <c r="H180" s="43">
        <v>1</v>
      </c>
      <c r="I180" s="42">
        <v>0</v>
      </c>
      <c r="J180" s="42">
        <v>0</v>
      </c>
      <c r="K180" s="42">
        <v>0</v>
      </c>
      <c r="L180" s="42">
        <v>1</v>
      </c>
    </row>
    <row r="181" ht="14.25" customHeight="1">
      <c r="A181" s="42" t="s">
        <v>15</v>
      </c>
      <c r="B181" s="43" t="s">
        <v>49</v>
      </c>
      <c r="C181" s="43">
        <v>1</v>
      </c>
      <c r="D181" s="43">
        <v>9</v>
      </c>
      <c r="E181" s="44">
        <v>-70.883562077999997</v>
      </c>
      <c r="F181" s="44">
        <v>-33.644634204999903</v>
      </c>
      <c r="G181" s="45">
        <v>39639.379999999997</v>
      </c>
      <c r="H181" s="43">
        <v>1</v>
      </c>
      <c r="I181" s="42">
        <v>0</v>
      </c>
      <c r="J181" s="42">
        <v>0</v>
      </c>
      <c r="K181" s="42">
        <v>0</v>
      </c>
      <c r="L181" s="42">
        <v>1</v>
      </c>
    </row>
    <row r="182" ht="14.25" customHeight="1">
      <c r="A182" s="42" t="s">
        <v>15</v>
      </c>
      <c r="B182" s="43" t="s">
        <v>49</v>
      </c>
      <c r="C182" s="43">
        <v>1</v>
      </c>
      <c r="D182" s="43">
        <v>10</v>
      </c>
      <c r="E182" s="44">
        <v>-70.926804027999907</v>
      </c>
      <c r="F182" s="44">
        <v>-33.661907618999997</v>
      </c>
      <c r="G182" s="45">
        <v>44510.580000000002</v>
      </c>
      <c r="H182" s="43">
        <v>1</v>
      </c>
      <c r="I182" s="42">
        <v>0</v>
      </c>
      <c r="J182" s="42">
        <v>0</v>
      </c>
      <c r="K182" s="42">
        <v>0</v>
      </c>
      <c r="L182" s="42">
        <v>1</v>
      </c>
    </row>
    <row r="183" ht="14.25" customHeight="1">
      <c r="A183" s="42" t="s">
        <v>15</v>
      </c>
      <c r="B183" s="43" t="s">
        <v>49</v>
      </c>
      <c r="C183" s="43">
        <v>1</v>
      </c>
      <c r="D183" s="43">
        <v>11</v>
      </c>
      <c r="E183" s="44">
        <v>-70.939259699999994</v>
      </c>
      <c r="F183" s="44">
        <v>-33.669576300000003</v>
      </c>
      <c r="G183" s="45">
        <v>46086.809999999998</v>
      </c>
      <c r="H183" s="43">
        <v>1</v>
      </c>
      <c r="I183" s="42">
        <v>0</v>
      </c>
      <c r="J183" s="42">
        <v>0</v>
      </c>
      <c r="K183" s="42">
        <v>0</v>
      </c>
      <c r="L183" s="42">
        <v>1</v>
      </c>
    </row>
    <row r="184" ht="14.25" customHeight="1">
      <c r="A184" s="42" t="s">
        <v>15</v>
      </c>
      <c r="B184" s="43" t="s">
        <v>49</v>
      </c>
      <c r="C184" s="43">
        <v>1</v>
      </c>
      <c r="D184" s="43">
        <v>12</v>
      </c>
      <c r="E184" s="44">
        <v>-70.950134149999897</v>
      </c>
      <c r="F184" s="44">
        <v>-33.674255549999899</v>
      </c>
      <c r="G184" s="45">
        <v>47223.459999999999</v>
      </c>
      <c r="H184" s="43">
        <v>1</v>
      </c>
      <c r="I184" s="42">
        <v>0</v>
      </c>
      <c r="J184" s="42">
        <v>0</v>
      </c>
      <c r="K184" s="42">
        <v>0</v>
      </c>
      <c r="L184" s="42">
        <v>1</v>
      </c>
    </row>
    <row r="185" ht="14.25" customHeight="1">
      <c r="A185" s="42" t="s">
        <v>15</v>
      </c>
      <c r="B185" s="43" t="s">
        <v>49</v>
      </c>
      <c r="C185" s="43">
        <v>1</v>
      </c>
      <c r="D185" s="43">
        <v>13</v>
      </c>
      <c r="E185" s="44">
        <v>-70.969273700000002</v>
      </c>
      <c r="F185" s="44">
        <v>-33.686299300000002</v>
      </c>
      <c r="G185" s="45">
        <v>49495.169999999998</v>
      </c>
      <c r="H185" s="43">
        <v>1</v>
      </c>
      <c r="I185" s="42">
        <v>0</v>
      </c>
      <c r="J185" s="42">
        <v>0</v>
      </c>
      <c r="K185" s="42">
        <v>0</v>
      </c>
      <c r="L185" s="42">
        <v>1</v>
      </c>
    </row>
    <row r="186" ht="14.25" customHeight="1">
      <c r="A186" s="42" t="s">
        <v>15</v>
      </c>
      <c r="B186" s="43" t="s">
        <v>49</v>
      </c>
      <c r="C186" s="43">
        <v>1</v>
      </c>
      <c r="D186" s="43">
        <v>14</v>
      </c>
      <c r="E186" s="44">
        <v>-70.990793249999996</v>
      </c>
      <c r="F186" s="44">
        <v>-33.683485300000001</v>
      </c>
      <c r="G186" s="45">
        <v>52377.040000000001</v>
      </c>
      <c r="H186" s="43">
        <v>1</v>
      </c>
      <c r="I186" s="42">
        <v>0</v>
      </c>
      <c r="J186" s="42">
        <v>0</v>
      </c>
      <c r="K186" s="42">
        <v>0</v>
      </c>
      <c r="L186" s="42">
        <v>1</v>
      </c>
    </row>
    <row r="187" ht="14.25" customHeight="1">
      <c r="A187" s="42" t="s">
        <v>15</v>
      </c>
      <c r="B187" s="43" t="s">
        <v>49</v>
      </c>
      <c r="C187" s="43">
        <v>1</v>
      </c>
      <c r="D187" s="43">
        <v>15</v>
      </c>
      <c r="E187" s="44">
        <v>-71.009763699999993</v>
      </c>
      <c r="F187" s="44">
        <v>-33.684288799999898</v>
      </c>
      <c r="G187" s="45">
        <v>54165.599999999999</v>
      </c>
      <c r="H187" s="43">
        <v>1</v>
      </c>
      <c r="I187" s="42">
        <v>0</v>
      </c>
      <c r="J187" s="42">
        <v>0</v>
      </c>
      <c r="K187" s="42">
        <v>0</v>
      </c>
      <c r="L187" s="42">
        <v>1</v>
      </c>
    </row>
    <row r="188" ht="14.25" customHeight="1">
      <c r="A188" s="42" t="s">
        <v>15</v>
      </c>
      <c r="B188" s="43" t="s">
        <v>49</v>
      </c>
      <c r="C188" s="43">
        <v>1</v>
      </c>
      <c r="D188" s="43">
        <v>16</v>
      </c>
      <c r="E188" s="44">
        <v>-71.039914749999994</v>
      </c>
      <c r="F188" s="44">
        <v>-33.6884034999999</v>
      </c>
      <c r="G188" s="45">
        <v>57006.089999999997</v>
      </c>
      <c r="H188" s="43">
        <v>1</v>
      </c>
      <c r="I188" s="42">
        <v>1</v>
      </c>
      <c r="J188" s="42">
        <v>0</v>
      </c>
      <c r="K188" s="42">
        <v>0.10000000000000001</v>
      </c>
      <c r="L188" s="42">
        <v>1</v>
      </c>
    </row>
    <row r="189" ht="14.25" customHeight="1">
      <c r="A189" s="42" t="s">
        <v>15</v>
      </c>
      <c r="B189" s="43" t="s">
        <v>51</v>
      </c>
      <c r="C189" s="43">
        <v>0</v>
      </c>
      <c r="D189" s="43">
        <v>1</v>
      </c>
      <c r="E189" s="44">
        <v>-70.946274603999896</v>
      </c>
      <c r="F189" s="44">
        <v>-33.672617025999998</v>
      </c>
      <c r="G189" s="45">
        <v>587.89999999999998</v>
      </c>
      <c r="H189" s="43">
        <v>1</v>
      </c>
      <c r="I189" s="42">
        <v>1</v>
      </c>
      <c r="J189" s="42">
        <v>1</v>
      </c>
      <c r="K189" s="42">
        <v>0.80000000000000004</v>
      </c>
      <c r="L189" s="42">
        <v>1</v>
      </c>
    </row>
    <row r="190" ht="14.25" customHeight="1">
      <c r="A190" s="42" t="s">
        <v>15</v>
      </c>
      <c r="B190" s="43" t="s">
        <v>51</v>
      </c>
      <c r="C190" s="43">
        <v>0</v>
      </c>
      <c r="D190" s="43">
        <v>2</v>
      </c>
      <c r="E190" s="44">
        <v>-70.934659952000004</v>
      </c>
      <c r="F190" s="44">
        <v>-33.666343195000003</v>
      </c>
      <c r="G190" s="45">
        <v>1888.27</v>
      </c>
      <c r="H190" s="43">
        <v>1</v>
      </c>
      <c r="I190" s="42">
        <v>1</v>
      </c>
      <c r="J190" s="42">
        <v>0</v>
      </c>
      <c r="K190" s="42">
        <v>0.10000000000000001</v>
      </c>
      <c r="L190" s="42">
        <v>1</v>
      </c>
    </row>
    <row r="191" ht="14.25" customHeight="1">
      <c r="A191" s="42" t="s">
        <v>15</v>
      </c>
      <c r="B191" s="43" t="s">
        <v>51</v>
      </c>
      <c r="C191" s="43">
        <v>0</v>
      </c>
      <c r="D191" s="43">
        <v>3</v>
      </c>
      <c r="E191" s="44">
        <v>-70.928136350000003</v>
      </c>
      <c r="F191" s="44">
        <v>-33.664880500000002</v>
      </c>
      <c r="G191" s="45">
        <v>2623.1399999999999</v>
      </c>
      <c r="H191" s="43">
        <v>1</v>
      </c>
      <c r="I191" s="42">
        <v>0</v>
      </c>
      <c r="J191" s="42">
        <v>0</v>
      </c>
      <c r="K191" s="42">
        <v>0</v>
      </c>
      <c r="L191" s="42">
        <v>1</v>
      </c>
    </row>
    <row r="192" ht="14.25" customHeight="1">
      <c r="A192" s="42" t="s">
        <v>15</v>
      </c>
      <c r="B192" s="43" t="s">
        <v>51</v>
      </c>
      <c r="C192" s="43">
        <v>0</v>
      </c>
      <c r="D192" s="43">
        <v>4</v>
      </c>
      <c r="E192" s="44">
        <v>-70.924113340000005</v>
      </c>
      <c r="F192" s="44">
        <v>-33.659817124</v>
      </c>
      <c r="G192" s="45">
        <v>3544.7800000000002</v>
      </c>
      <c r="H192" s="43">
        <v>1</v>
      </c>
      <c r="I192" s="42">
        <v>0</v>
      </c>
      <c r="J192" s="42">
        <v>0</v>
      </c>
      <c r="K192" s="42">
        <v>0</v>
      </c>
      <c r="L192" s="42">
        <v>1</v>
      </c>
    </row>
    <row r="193" ht="14.25" customHeight="1">
      <c r="A193" s="42" t="s">
        <v>15</v>
      </c>
      <c r="B193" s="43" t="s">
        <v>51</v>
      </c>
      <c r="C193" s="43">
        <v>0</v>
      </c>
      <c r="D193" s="43">
        <v>5</v>
      </c>
      <c r="E193" s="44">
        <v>-70.907892054999905</v>
      </c>
      <c r="F193" s="44">
        <v>-33.619562883</v>
      </c>
      <c r="G193" s="45">
        <v>8780.7199999999993</v>
      </c>
      <c r="H193" s="43">
        <v>1</v>
      </c>
      <c r="I193" s="42">
        <v>0</v>
      </c>
      <c r="J193" s="42">
        <v>0</v>
      </c>
      <c r="K193" s="42">
        <v>0</v>
      </c>
      <c r="L193" s="42">
        <v>1</v>
      </c>
    </row>
    <row r="194" ht="14.25" customHeight="1">
      <c r="A194" s="42" t="s">
        <v>15</v>
      </c>
      <c r="B194" s="43" t="s">
        <v>51</v>
      </c>
      <c r="C194" s="43">
        <v>0</v>
      </c>
      <c r="D194" s="43">
        <v>6</v>
      </c>
      <c r="E194" s="44">
        <v>-70.865043799999995</v>
      </c>
      <c r="F194" s="44">
        <v>-33.610148000000002</v>
      </c>
      <c r="G194" s="45">
        <v>13526.85</v>
      </c>
      <c r="H194" s="43">
        <v>1</v>
      </c>
      <c r="I194" s="42">
        <v>0</v>
      </c>
      <c r="J194" s="42">
        <v>0</v>
      </c>
      <c r="K194" s="42">
        <v>0</v>
      </c>
      <c r="L194" s="42">
        <v>1</v>
      </c>
    </row>
    <row r="195" ht="14.25" customHeight="1">
      <c r="A195" s="42" t="s">
        <v>15</v>
      </c>
      <c r="B195" s="43" t="s">
        <v>51</v>
      </c>
      <c r="C195" s="43">
        <v>0</v>
      </c>
      <c r="D195" s="43">
        <v>7</v>
      </c>
      <c r="E195" s="44">
        <v>-70.828854500000006</v>
      </c>
      <c r="F195" s="44">
        <v>-33.581303499999898</v>
      </c>
      <c r="G195" s="45">
        <v>18876.439999999999</v>
      </c>
      <c r="H195" s="43">
        <v>1</v>
      </c>
      <c r="I195" s="42">
        <v>0</v>
      </c>
      <c r="J195" s="42">
        <v>0</v>
      </c>
      <c r="K195" s="42">
        <v>0</v>
      </c>
      <c r="L195" s="42">
        <v>1</v>
      </c>
    </row>
    <row r="196" ht="14.25" customHeight="1">
      <c r="A196" s="42" t="s">
        <v>15</v>
      </c>
      <c r="B196" s="43" t="s">
        <v>51</v>
      </c>
      <c r="C196" s="43">
        <v>0</v>
      </c>
      <c r="D196" s="43">
        <v>8</v>
      </c>
      <c r="E196" s="44">
        <v>-70.7925398739999</v>
      </c>
      <c r="F196" s="44">
        <v>-33.551908964999903</v>
      </c>
      <c r="G196" s="45">
        <v>23597.869999999999</v>
      </c>
      <c r="H196" s="43">
        <v>1</v>
      </c>
      <c r="I196" s="42">
        <v>0</v>
      </c>
      <c r="J196" s="42">
        <v>0</v>
      </c>
      <c r="K196" s="42">
        <v>0</v>
      </c>
      <c r="L196" s="42">
        <v>1</v>
      </c>
    </row>
    <row r="197" ht="14.25" customHeight="1">
      <c r="A197" s="42" t="s">
        <v>15</v>
      </c>
      <c r="B197" s="43" t="s">
        <v>51</v>
      </c>
      <c r="C197" s="43">
        <v>0</v>
      </c>
      <c r="D197" s="43">
        <v>9</v>
      </c>
      <c r="E197" s="44">
        <v>-70.759467298000004</v>
      </c>
      <c r="F197" s="44">
        <v>-33.529217657999901</v>
      </c>
      <c r="G197" s="45">
        <v>27569.130000000001</v>
      </c>
      <c r="H197" s="43">
        <v>1</v>
      </c>
      <c r="I197" s="42">
        <v>0</v>
      </c>
      <c r="J197" s="42">
        <v>0</v>
      </c>
      <c r="K197" s="42">
        <v>0</v>
      </c>
      <c r="L197" s="42">
        <v>1</v>
      </c>
    </row>
    <row r="198" ht="14.25" customHeight="1">
      <c r="A198" s="42" t="s">
        <v>15</v>
      </c>
      <c r="B198" s="43" t="s">
        <v>51</v>
      </c>
      <c r="C198" s="43">
        <v>0</v>
      </c>
      <c r="D198" s="43">
        <v>10</v>
      </c>
      <c r="E198" s="44">
        <v>-70.755679400000005</v>
      </c>
      <c r="F198" s="44">
        <v>-33.512744400000003</v>
      </c>
      <c r="G198" s="45">
        <v>30019.009999999998</v>
      </c>
      <c r="H198" s="43">
        <v>1</v>
      </c>
      <c r="I198" s="42">
        <v>0</v>
      </c>
      <c r="J198" s="42">
        <v>0</v>
      </c>
      <c r="K198" s="42">
        <v>0</v>
      </c>
      <c r="L198" s="42">
        <v>1</v>
      </c>
    </row>
    <row r="199" ht="14.25" customHeight="1">
      <c r="A199" s="42" t="s">
        <v>15</v>
      </c>
      <c r="B199" s="43" t="s">
        <v>51</v>
      </c>
      <c r="C199" s="43">
        <v>0</v>
      </c>
      <c r="D199" s="43">
        <v>11</v>
      </c>
      <c r="E199" s="44">
        <v>-70.757289399999905</v>
      </c>
      <c r="F199" s="44">
        <v>-33.494743900000003</v>
      </c>
      <c r="G199" s="45">
        <v>32136.110000000001</v>
      </c>
      <c r="H199" s="43">
        <v>1</v>
      </c>
      <c r="I199" s="42">
        <v>0</v>
      </c>
      <c r="J199" s="42">
        <v>0</v>
      </c>
      <c r="K199" s="42">
        <v>0</v>
      </c>
      <c r="L199" s="42">
        <v>1</v>
      </c>
    </row>
    <row r="200" ht="14.25" customHeight="1">
      <c r="A200" s="42" t="s">
        <v>15</v>
      </c>
      <c r="B200" s="43" t="s">
        <v>51</v>
      </c>
      <c r="C200" s="43">
        <v>0</v>
      </c>
      <c r="D200" s="43">
        <v>12</v>
      </c>
      <c r="E200" s="44">
        <v>-70.753704509000002</v>
      </c>
      <c r="F200" s="44">
        <v>-33.481991567000001</v>
      </c>
      <c r="G200" s="45">
        <v>34236.589999999997</v>
      </c>
      <c r="H200" s="43">
        <v>1</v>
      </c>
      <c r="I200" s="42">
        <v>0</v>
      </c>
      <c r="J200" s="42">
        <v>0</v>
      </c>
      <c r="K200" s="42">
        <v>0</v>
      </c>
      <c r="L200" s="42">
        <v>1</v>
      </c>
    </row>
    <row r="201" ht="14.25" customHeight="1">
      <c r="A201" s="42" t="s">
        <v>15</v>
      </c>
      <c r="B201" s="43" t="s">
        <v>51</v>
      </c>
      <c r="C201" s="43">
        <v>0</v>
      </c>
      <c r="D201" s="43">
        <v>13</v>
      </c>
      <c r="E201" s="44">
        <v>-70.762083525999998</v>
      </c>
      <c r="F201" s="44">
        <v>-33.466717200999902</v>
      </c>
      <c r="G201" s="45">
        <v>36105.209999999999</v>
      </c>
      <c r="H201" s="43">
        <v>1</v>
      </c>
      <c r="I201" s="42">
        <v>0</v>
      </c>
      <c r="J201" s="42">
        <v>0</v>
      </c>
      <c r="K201" s="42">
        <v>0</v>
      </c>
      <c r="L201" s="42">
        <v>1</v>
      </c>
    </row>
    <row r="202" ht="14.25" customHeight="1">
      <c r="A202" s="42" t="s">
        <v>15</v>
      </c>
      <c r="B202" s="43" t="s">
        <v>51</v>
      </c>
      <c r="C202" s="43">
        <v>0</v>
      </c>
      <c r="D202" s="43">
        <v>14</v>
      </c>
      <c r="E202" s="44">
        <v>-70.768111499</v>
      </c>
      <c r="F202" s="44">
        <v>-33.455171051000001</v>
      </c>
      <c r="G202" s="45">
        <v>37535.099999999999</v>
      </c>
      <c r="H202" s="43">
        <v>1</v>
      </c>
      <c r="I202" s="42">
        <v>0</v>
      </c>
      <c r="J202" s="42">
        <v>0</v>
      </c>
      <c r="K202" s="42">
        <v>0</v>
      </c>
      <c r="L202" s="42">
        <v>1</v>
      </c>
    </row>
    <row r="203" ht="14.25" customHeight="1">
      <c r="A203" s="42" t="s">
        <v>15</v>
      </c>
      <c r="B203" s="43" t="s">
        <v>51</v>
      </c>
      <c r="C203" s="43">
        <v>0</v>
      </c>
      <c r="D203" s="43">
        <v>15</v>
      </c>
      <c r="E203" s="44">
        <v>-70.7590418999999</v>
      </c>
      <c r="F203" s="44">
        <v>-33.385801699999902</v>
      </c>
      <c r="G203" s="45">
        <v>47670.910000000003</v>
      </c>
      <c r="H203" s="43">
        <v>1</v>
      </c>
      <c r="I203" s="42">
        <v>0</v>
      </c>
      <c r="J203" s="42">
        <v>0</v>
      </c>
      <c r="K203" s="42">
        <v>0</v>
      </c>
      <c r="L203" s="42">
        <v>1</v>
      </c>
    </row>
    <row r="204" ht="14.25" customHeight="1">
      <c r="A204" s="42" t="s">
        <v>15</v>
      </c>
      <c r="B204" s="43" t="s">
        <v>51</v>
      </c>
      <c r="C204" s="43">
        <v>0</v>
      </c>
      <c r="D204" s="43">
        <v>16</v>
      </c>
      <c r="E204" s="44">
        <v>-70.761585399999902</v>
      </c>
      <c r="F204" s="44">
        <v>-33.372917050999902</v>
      </c>
      <c r="G204" s="45">
        <v>52694.589999999997</v>
      </c>
      <c r="H204" s="43">
        <v>1</v>
      </c>
      <c r="I204" s="42">
        <v>1</v>
      </c>
      <c r="J204" s="42">
        <v>0</v>
      </c>
      <c r="K204" s="42">
        <v>0.10000000000000001</v>
      </c>
      <c r="L204" s="42">
        <v>1</v>
      </c>
    </row>
    <row r="205" ht="14.25" customHeight="1">
      <c r="A205" s="42" t="s">
        <v>15</v>
      </c>
      <c r="B205" s="43" t="s">
        <v>51</v>
      </c>
      <c r="C205" s="43">
        <v>1</v>
      </c>
      <c r="D205" s="43">
        <v>1</v>
      </c>
      <c r="E205" s="44">
        <v>-70.760632891999904</v>
      </c>
      <c r="F205" s="44">
        <v>-33.373144742000001</v>
      </c>
      <c r="G205" s="45">
        <v>1551.48</v>
      </c>
      <c r="H205" s="43">
        <v>1</v>
      </c>
      <c r="I205" s="42">
        <v>1</v>
      </c>
      <c r="J205" s="42">
        <v>1</v>
      </c>
      <c r="K205" s="42">
        <v>0.80000000000000004</v>
      </c>
      <c r="L205" s="42">
        <v>1</v>
      </c>
    </row>
    <row r="206" ht="14.25" customHeight="1">
      <c r="A206" s="42" t="s">
        <v>15</v>
      </c>
      <c r="B206" s="43" t="s">
        <v>51</v>
      </c>
      <c r="C206" s="43">
        <v>1</v>
      </c>
      <c r="D206" s="43">
        <v>2</v>
      </c>
      <c r="E206" s="44">
        <v>-70.761779450000006</v>
      </c>
      <c r="F206" s="44">
        <v>-33.387540854000001</v>
      </c>
      <c r="G206" s="45">
        <v>4518.6199999999999</v>
      </c>
      <c r="H206" s="43">
        <v>1</v>
      </c>
      <c r="I206" s="42">
        <v>1</v>
      </c>
      <c r="J206" s="42">
        <v>0</v>
      </c>
      <c r="K206" s="42">
        <v>0.10000000000000001</v>
      </c>
      <c r="L206" s="42">
        <v>1</v>
      </c>
    </row>
    <row r="207" ht="14.25" customHeight="1">
      <c r="A207" s="42" t="s">
        <v>15</v>
      </c>
      <c r="B207" s="43" t="s">
        <v>51</v>
      </c>
      <c r="C207" s="43">
        <v>1</v>
      </c>
      <c r="D207" s="43">
        <v>3</v>
      </c>
      <c r="E207" s="44">
        <v>-70.768510950000007</v>
      </c>
      <c r="F207" s="44">
        <v>-33.455413952000001</v>
      </c>
      <c r="G207" s="45">
        <v>14584.25</v>
      </c>
      <c r="H207" s="43">
        <v>1</v>
      </c>
      <c r="I207" s="42">
        <v>0</v>
      </c>
      <c r="J207" s="42">
        <v>0</v>
      </c>
      <c r="K207" s="42">
        <v>0</v>
      </c>
      <c r="L207" s="42">
        <v>1</v>
      </c>
    </row>
    <row r="208" ht="14.25" customHeight="1">
      <c r="A208" s="42" t="s">
        <v>15</v>
      </c>
      <c r="B208" s="43" t="s">
        <v>51</v>
      </c>
      <c r="C208" s="43">
        <v>1</v>
      </c>
      <c r="D208" s="43">
        <v>4</v>
      </c>
      <c r="E208" s="44">
        <v>-70.762455000000003</v>
      </c>
      <c r="F208" s="44">
        <v>-33.467066899999999</v>
      </c>
      <c r="G208" s="45">
        <v>16027</v>
      </c>
      <c r="H208" s="43">
        <v>1</v>
      </c>
      <c r="I208" s="42">
        <v>0</v>
      </c>
      <c r="J208" s="42">
        <v>0</v>
      </c>
      <c r="K208" s="42">
        <v>0</v>
      </c>
      <c r="L208" s="42">
        <v>1</v>
      </c>
    </row>
    <row r="209" ht="14.25" customHeight="1">
      <c r="A209" s="42" t="s">
        <v>15</v>
      </c>
      <c r="B209" s="43" t="s">
        <v>51</v>
      </c>
      <c r="C209" s="43">
        <v>1</v>
      </c>
      <c r="D209" s="43">
        <v>5</v>
      </c>
      <c r="E209" s="44">
        <v>-70.754188150000004</v>
      </c>
      <c r="F209" s="44">
        <v>-33.4821359439999</v>
      </c>
      <c r="G209" s="45">
        <v>17870.209999999999</v>
      </c>
      <c r="H209" s="43">
        <v>1</v>
      </c>
      <c r="I209" s="42">
        <v>0</v>
      </c>
      <c r="J209" s="42">
        <v>0</v>
      </c>
      <c r="K209" s="42">
        <v>0</v>
      </c>
      <c r="L209" s="42">
        <v>1</v>
      </c>
    </row>
    <row r="210" ht="14.25" customHeight="1">
      <c r="A210" s="42" t="s">
        <v>15</v>
      </c>
      <c r="B210" s="43" t="s">
        <v>51</v>
      </c>
      <c r="C210" s="43">
        <v>1</v>
      </c>
      <c r="D210" s="43">
        <v>6</v>
      </c>
      <c r="E210" s="44">
        <v>-70.75751975</v>
      </c>
      <c r="F210" s="44">
        <v>-33.494727349999998</v>
      </c>
      <c r="G210" s="45">
        <v>19509.93</v>
      </c>
      <c r="H210" s="43">
        <v>1</v>
      </c>
      <c r="I210" s="42">
        <v>0</v>
      </c>
      <c r="J210" s="42">
        <v>0</v>
      </c>
      <c r="K210" s="42">
        <v>0</v>
      </c>
      <c r="L210" s="42">
        <v>1</v>
      </c>
    </row>
    <row r="211" ht="14.25" customHeight="1">
      <c r="A211" s="42" t="s">
        <v>15</v>
      </c>
      <c r="B211" s="43" t="s">
        <v>51</v>
      </c>
      <c r="C211" s="43">
        <v>1</v>
      </c>
      <c r="D211" s="43">
        <v>7</v>
      </c>
      <c r="E211" s="44">
        <v>-70.757441400000005</v>
      </c>
      <c r="F211" s="44">
        <v>-33.512807899999999</v>
      </c>
      <c r="G211" s="45">
        <v>21515.849999999999</v>
      </c>
      <c r="H211" s="43">
        <v>1</v>
      </c>
      <c r="I211" s="42">
        <v>0</v>
      </c>
      <c r="J211" s="42">
        <v>0</v>
      </c>
      <c r="K211" s="42">
        <v>0</v>
      </c>
      <c r="L211" s="42">
        <v>1</v>
      </c>
    </row>
    <row r="212" ht="14.25" customHeight="1">
      <c r="A212" s="42" t="s">
        <v>15</v>
      </c>
      <c r="B212" s="43" t="s">
        <v>51</v>
      </c>
      <c r="C212" s="43">
        <v>1</v>
      </c>
      <c r="D212" s="43">
        <v>8</v>
      </c>
      <c r="E212" s="44">
        <v>-70.760581244999997</v>
      </c>
      <c r="F212" s="44">
        <v>-33.529825602000003</v>
      </c>
      <c r="G212" s="45">
        <v>23544.5</v>
      </c>
      <c r="H212" s="43">
        <v>1</v>
      </c>
      <c r="I212" s="42">
        <v>0</v>
      </c>
      <c r="J212" s="42">
        <v>0</v>
      </c>
      <c r="K212" s="42">
        <v>0</v>
      </c>
      <c r="L212" s="42">
        <v>1</v>
      </c>
    </row>
    <row r="213" ht="14.25" customHeight="1">
      <c r="A213" s="42" t="s">
        <v>15</v>
      </c>
      <c r="B213" s="43" t="s">
        <v>51</v>
      </c>
      <c r="C213" s="43">
        <v>1</v>
      </c>
      <c r="D213" s="43">
        <v>9</v>
      </c>
      <c r="E213" s="44">
        <v>-70.7938498729999</v>
      </c>
      <c r="F213" s="44">
        <v>-33.552627546999901</v>
      </c>
      <c r="G213" s="45">
        <v>27537.549999999999</v>
      </c>
      <c r="H213" s="43">
        <v>1</v>
      </c>
      <c r="I213" s="42">
        <v>0</v>
      </c>
      <c r="J213" s="42">
        <v>0</v>
      </c>
      <c r="K213" s="42">
        <v>0</v>
      </c>
      <c r="L213" s="42">
        <v>1</v>
      </c>
    </row>
    <row r="214" ht="14.25" customHeight="1">
      <c r="A214" s="42" t="s">
        <v>15</v>
      </c>
      <c r="B214" s="43" t="s">
        <v>51</v>
      </c>
      <c r="C214" s="43">
        <v>1</v>
      </c>
      <c r="D214" s="43">
        <v>10</v>
      </c>
      <c r="E214" s="44">
        <v>-70.823994299999995</v>
      </c>
      <c r="F214" s="44">
        <v>-33.577644099999901</v>
      </c>
      <c r="G214" s="45">
        <v>31509</v>
      </c>
      <c r="H214" s="43">
        <v>1</v>
      </c>
      <c r="I214" s="42">
        <v>0</v>
      </c>
      <c r="J214" s="42">
        <v>0</v>
      </c>
      <c r="K214" s="42">
        <v>0</v>
      </c>
      <c r="L214" s="42">
        <v>1</v>
      </c>
    </row>
    <row r="215" ht="14.25" customHeight="1">
      <c r="A215" s="42" t="s">
        <v>15</v>
      </c>
      <c r="B215" s="43" t="s">
        <v>51</v>
      </c>
      <c r="C215" s="43">
        <v>1</v>
      </c>
      <c r="D215" s="43">
        <v>11</v>
      </c>
      <c r="E215" s="44">
        <v>-70.866791199999994</v>
      </c>
      <c r="F215" s="44">
        <v>-33.610227199999898</v>
      </c>
      <c r="G215" s="45">
        <v>37136.910000000003</v>
      </c>
      <c r="H215" s="43">
        <v>1</v>
      </c>
      <c r="I215" s="42">
        <v>0</v>
      </c>
      <c r="J215" s="42">
        <v>0</v>
      </c>
      <c r="K215" s="42">
        <v>0</v>
      </c>
      <c r="L215" s="42">
        <v>1</v>
      </c>
    </row>
    <row r="216" ht="14.25" customHeight="1">
      <c r="A216" s="42" t="s">
        <v>15</v>
      </c>
      <c r="B216" s="43" t="s">
        <v>51</v>
      </c>
      <c r="C216" s="43">
        <v>1</v>
      </c>
      <c r="D216" s="43">
        <v>12</v>
      </c>
      <c r="E216" s="44">
        <v>-70.908244170000003</v>
      </c>
      <c r="F216" s="44">
        <v>-33.621035841999998</v>
      </c>
      <c r="G216" s="45">
        <v>41887.239999999998</v>
      </c>
      <c r="H216" s="43">
        <v>1</v>
      </c>
      <c r="I216" s="42">
        <v>0</v>
      </c>
      <c r="J216" s="42">
        <v>0</v>
      </c>
      <c r="K216" s="42">
        <v>0</v>
      </c>
      <c r="L216" s="42">
        <v>1</v>
      </c>
    </row>
    <row r="217" ht="14.25" customHeight="1">
      <c r="A217" s="42" t="s">
        <v>15</v>
      </c>
      <c r="B217" s="43" t="s">
        <v>51</v>
      </c>
      <c r="C217" s="43">
        <v>1</v>
      </c>
      <c r="D217" s="43">
        <v>13</v>
      </c>
      <c r="E217" s="44">
        <v>-70.924381554999997</v>
      </c>
      <c r="F217" s="44">
        <v>-33.658826282999897</v>
      </c>
      <c r="G217" s="45">
        <v>46828.370000000003</v>
      </c>
      <c r="H217" s="43">
        <v>1</v>
      </c>
      <c r="I217" s="42">
        <v>0</v>
      </c>
      <c r="J217" s="42">
        <v>0</v>
      </c>
      <c r="K217" s="42">
        <v>0</v>
      </c>
      <c r="L217" s="42">
        <v>1</v>
      </c>
    </row>
    <row r="218" ht="14.25" customHeight="1">
      <c r="A218" s="42" t="s">
        <v>15</v>
      </c>
      <c r="B218" s="43" t="s">
        <v>51</v>
      </c>
      <c r="C218" s="43">
        <v>1</v>
      </c>
      <c r="D218" s="43">
        <v>14</v>
      </c>
      <c r="E218" s="44">
        <v>-70.939668640999997</v>
      </c>
      <c r="F218" s="44">
        <v>-33.669749881000001</v>
      </c>
      <c r="G218" s="45">
        <v>48879.349999999999</v>
      </c>
      <c r="H218" s="43">
        <v>1</v>
      </c>
      <c r="I218" s="42">
        <v>0</v>
      </c>
      <c r="J218" s="42">
        <v>0</v>
      </c>
      <c r="K218" s="42">
        <v>0</v>
      </c>
      <c r="L218" s="42">
        <v>1</v>
      </c>
    </row>
    <row r="219" ht="14.25" customHeight="1">
      <c r="A219" s="42" t="s">
        <v>15</v>
      </c>
      <c r="B219" s="43" t="s">
        <v>51</v>
      </c>
      <c r="C219" s="43">
        <v>1</v>
      </c>
      <c r="D219" s="43">
        <v>15</v>
      </c>
      <c r="E219" s="44">
        <v>-70.946754299999995</v>
      </c>
      <c r="F219" s="44">
        <v>-33.6726934</v>
      </c>
      <c r="G219" s="45">
        <v>49614.029999999999</v>
      </c>
      <c r="H219" s="43">
        <v>1</v>
      </c>
      <c r="I219" s="42">
        <v>1</v>
      </c>
      <c r="J219" s="42">
        <v>0</v>
      </c>
      <c r="K219" s="42">
        <v>0.10000000000000001</v>
      </c>
      <c r="L219" s="42">
        <v>1</v>
      </c>
    </row>
    <row r="220" ht="14.25" customHeight="1">
      <c r="A220" s="42" t="s">
        <v>15</v>
      </c>
      <c r="B220" s="43" t="s">
        <v>53</v>
      </c>
      <c r="C220" s="43">
        <v>0</v>
      </c>
      <c r="D220" s="43">
        <v>1</v>
      </c>
      <c r="E220" s="44">
        <v>-70.946461655999897</v>
      </c>
      <c r="F220" s="44">
        <v>-33.672696518000002</v>
      </c>
      <c r="G220" s="45">
        <v>571.45000000000005</v>
      </c>
      <c r="H220" s="43">
        <v>1</v>
      </c>
      <c r="I220" s="42">
        <v>1</v>
      </c>
      <c r="J220" s="42">
        <v>1</v>
      </c>
      <c r="K220" s="42">
        <v>0.80000000000000004</v>
      </c>
      <c r="L220" s="42">
        <v>1</v>
      </c>
    </row>
    <row r="221" ht="14.25" customHeight="1">
      <c r="A221" s="42" t="s">
        <v>15</v>
      </c>
      <c r="B221" s="43" t="s">
        <v>53</v>
      </c>
      <c r="C221" s="43">
        <v>0</v>
      </c>
      <c r="D221" s="43">
        <v>2</v>
      </c>
      <c r="E221" s="44">
        <v>-70.940366699999998</v>
      </c>
      <c r="F221" s="44">
        <v>-33.670047099999998</v>
      </c>
      <c r="G221" s="45">
        <v>1208.79</v>
      </c>
      <c r="H221" s="43">
        <v>1</v>
      </c>
      <c r="I221" s="42">
        <v>1</v>
      </c>
      <c r="J221" s="42">
        <v>0</v>
      </c>
      <c r="K221" s="42">
        <v>0.10000000000000001</v>
      </c>
      <c r="L221" s="42">
        <v>1</v>
      </c>
    </row>
    <row r="222" ht="14.25" customHeight="1">
      <c r="A222" s="42" t="s">
        <v>15</v>
      </c>
      <c r="B222" s="43" t="s">
        <v>53</v>
      </c>
      <c r="C222" s="43">
        <v>0</v>
      </c>
      <c r="D222" s="43">
        <v>3</v>
      </c>
      <c r="E222" s="44">
        <v>-70.925476599999996</v>
      </c>
      <c r="F222" s="44">
        <v>-33.663745900000002</v>
      </c>
      <c r="G222" s="45">
        <v>2903.0900000000001</v>
      </c>
      <c r="H222" s="43">
        <v>1</v>
      </c>
      <c r="I222" s="42">
        <v>0</v>
      </c>
      <c r="J222" s="42">
        <v>0</v>
      </c>
      <c r="K222" s="42">
        <v>0</v>
      </c>
      <c r="L222" s="42">
        <v>1</v>
      </c>
    </row>
    <row r="223" ht="14.25" customHeight="1">
      <c r="A223" s="42" t="s">
        <v>15</v>
      </c>
      <c r="B223" s="43" t="s">
        <v>53</v>
      </c>
      <c r="C223" s="43">
        <v>0</v>
      </c>
      <c r="D223" s="43">
        <v>4</v>
      </c>
      <c r="E223" s="44">
        <v>-70.915530091999997</v>
      </c>
      <c r="F223" s="44">
        <v>-33.662872266999997</v>
      </c>
      <c r="G223" s="45">
        <v>4074.6700000000001</v>
      </c>
      <c r="H223" s="43">
        <v>1</v>
      </c>
      <c r="I223" s="42">
        <v>0</v>
      </c>
      <c r="J223" s="42">
        <v>0</v>
      </c>
      <c r="K223" s="42">
        <v>0</v>
      </c>
      <c r="L223" s="42">
        <v>1</v>
      </c>
    </row>
    <row r="224" ht="14.25" customHeight="1">
      <c r="A224" s="42" t="s">
        <v>15</v>
      </c>
      <c r="B224" s="43" t="s">
        <v>53</v>
      </c>
      <c r="C224" s="43">
        <v>0</v>
      </c>
      <c r="D224" s="43">
        <v>5</v>
      </c>
      <c r="E224" s="44">
        <v>-70.916985221000004</v>
      </c>
      <c r="F224" s="44">
        <v>-33.665107411999898</v>
      </c>
      <c r="G224" s="45">
        <v>4458.5100000000002</v>
      </c>
      <c r="H224" s="43">
        <v>1</v>
      </c>
      <c r="I224" s="42">
        <v>0</v>
      </c>
      <c r="J224" s="42">
        <v>0</v>
      </c>
      <c r="K224" s="42">
        <v>0</v>
      </c>
      <c r="L224" s="42">
        <v>1</v>
      </c>
    </row>
    <row r="225" ht="14.25" customHeight="1">
      <c r="A225" s="42" t="s">
        <v>15</v>
      </c>
      <c r="B225" s="43" t="s">
        <v>53</v>
      </c>
      <c r="C225" s="43">
        <v>0</v>
      </c>
      <c r="D225" s="43">
        <v>6</v>
      </c>
      <c r="E225" s="44">
        <v>-70.924372899999995</v>
      </c>
      <c r="F225" s="44">
        <v>-33.668799399999997</v>
      </c>
      <c r="G225" s="45">
        <v>5257.0900000000001</v>
      </c>
      <c r="H225" s="43">
        <v>1</v>
      </c>
      <c r="I225" s="42">
        <v>0</v>
      </c>
      <c r="J225" s="42">
        <v>0</v>
      </c>
      <c r="K225" s="42">
        <v>0</v>
      </c>
      <c r="L225" s="42">
        <v>1</v>
      </c>
    </row>
    <row r="226" ht="14.25" customHeight="1">
      <c r="A226" s="42" t="s">
        <v>15</v>
      </c>
      <c r="B226" s="43" t="s">
        <v>53</v>
      </c>
      <c r="C226" s="43">
        <v>0</v>
      </c>
      <c r="D226" s="43">
        <v>7</v>
      </c>
      <c r="E226" s="44">
        <v>-70.906043999999994</v>
      </c>
      <c r="F226" s="44">
        <v>-33.6641493999999</v>
      </c>
      <c r="G226" s="45">
        <v>8667.6100000000006</v>
      </c>
      <c r="H226" s="43">
        <v>1</v>
      </c>
      <c r="I226" s="42">
        <v>0</v>
      </c>
      <c r="J226" s="42">
        <v>0</v>
      </c>
      <c r="K226" s="42">
        <v>0</v>
      </c>
      <c r="L226" s="42">
        <v>0</v>
      </c>
    </row>
    <row r="227" ht="14.25" customHeight="1">
      <c r="A227" s="42" t="s">
        <v>15</v>
      </c>
      <c r="B227" s="43" t="s">
        <v>53</v>
      </c>
      <c r="C227" s="43">
        <v>0</v>
      </c>
      <c r="D227" s="43">
        <v>8</v>
      </c>
      <c r="E227" s="44">
        <v>-70.844713260999995</v>
      </c>
      <c r="F227" s="44">
        <v>-33.589338153999996</v>
      </c>
      <c r="G227" s="45">
        <v>19117.049999999999</v>
      </c>
      <c r="H227" s="43">
        <v>1</v>
      </c>
      <c r="I227" s="42">
        <v>0</v>
      </c>
      <c r="J227" s="42">
        <v>0</v>
      </c>
      <c r="K227" s="42">
        <v>0</v>
      </c>
      <c r="L227" s="42">
        <v>0</v>
      </c>
    </row>
    <row r="228" ht="14.25" customHeight="1">
      <c r="A228" s="42" t="s">
        <v>15</v>
      </c>
      <c r="B228" s="43" t="s">
        <v>53</v>
      </c>
      <c r="C228" s="43">
        <v>0</v>
      </c>
      <c r="D228" s="43">
        <v>9</v>
      </c>
      <c r="E228" s="44">
        <v>-70.811147149999996</v>
      </c>
      <c r="F228" s="44">
        <v>-33.551488549999902</v>
      </c>
      <c r="G228" s="45">
        <v>25461.459999999999</v>
      </c>
      <c r="H228" s="43">
        <v>1</v>
      </c>
      <c r="I228" s="42">
        <v>0</v>
      </c>
      <c r="J228" s="42">
        <v>0</v>
      </c>
      <c r="K228" s="42">
        <v>0</v>
      </c>
      <c r="L228" s="42">
        <v>0</v>
      </c>
    </row>
    <row r="229" ht="14.25" customHeight="1">
      <c r="A229" s="42" t="s">
        <v>15</v>
      </c>
      <c r="B229" s="43" t="s">
        <v>53</v>
      </c>
      <c r="C229" s="43">
        <v>0</v>
      </c>
      <c r="D229" s="43">
        <v>10</v>
      </c>
      <c r="E229" s="44">
        <v>-70.754321598999994</v>
      </c>
      <c r="F229" s="44">
        <v>-33.493648100000001</v>
      </c>
      <c r="G229" s="45">
        <v>35529.279999999999</v>
      </c>
      <c r="H229" s="43">
        <v>1</v>
      </c>
      <c r="I229" s="42">
        <v>0</v>
      </c>
      <c r="J229" s="42">
        <v>0</v>
      </c>
      <c r="K229" s="42">
        <v>0</v>
      </c>
      <c r="L229" s="42">
        <v>0</v>
      </c>
    </row>
    <row r="230" ht="14.25" customHeight="1">
      <c r="A230" s="42" t="s">
        <v>15</v>
      </c>
      <c r="B230" s="43" t="s">
        <v>53</v>
      </c>
      <c r="C230" s="43">
        <v>0</v>
      </c>
      <c r="D230" s="43">
        <v>11</v>
      </c>
      <c r="E230" s="44">
        <v>-70.696512701000003</v>
      </c>
      <c r="F230" s="44">
        <v>-33.479258600000001</v>
      </c>
      <c r="G230" s="45">
        <v>41331.580000000002</v>
      </c>
      <c r="H230" s="43">
        <v>1</v>
      </c>
      <c r="I230" s="42">
        <v>0</v>
      </c>
      <c r="J230" s="42">
        <v>0</v>
      </c>
      <c r="K230" s="42">
        <v>0</v>
      </c>
      <c r="L230" s="42">
        <v>0</v>
      </c>
    </row>
    <row r="231" ht="14.25" customHeight="1">
      <c r="A231" s="42" t="s">
        <v>15</v>
      </c>
      <c r="B231" s="43" t="s">
        <v>53</v>
      </c>
      <c r="C231" s="43">
        <v>0</v>
      </c>
      <c r="D231" s="43">
        <v>12</v>
      </c>
      <c r="E231" s="44">
        <v>-70.687874398999995</v>
      </c>
      <c r="F231" s="44">
        <v>-33.47316</v>
      </c>
      <c r="G231" s="45">
        <v>43755.510000000002</v>
      </c>
      <c r="H231" s="43">
        <v>1</v>
      </c>
      <c r="I231" s="42">
        <v>0</v>
      </c>
      <c r="J231" s="42">
        <v>0</v>
      </c>
      <c r="K231" s="42">
        <v>0</v>
      </c>
      <c r="L231" s="42">
        <v>1</v>
      </c>
    </row>
    <row r="232" ht="14.25" customHeight="1">
      <c r="A232" s="42" t="s">
        <v>15</v>
      </c>
      <c r="B232" s="43" t="s">
        <v>53</v>
      </c>
      <c r="C232" s="43">
        <v>0</v>
      </c>
      <c r="D232" s="43">
        <v>13</v>
      </c>
      <c r="E232" s="44">
        <v>-70.6842817</v>
      </c>
      <c r="F232" s="44">
        <v>-33.4627371999999</v>
      </c>
      <c r="G232" s="45">
        <v>45255.300000000003</v>
      </c>
      <c r="H232" s="43">
        <v>1</v>
      </c>
      <c r="I232" s="42">
        <v>0</v>
      </c>
      <c r="J232" s="42">
        <v>0</v>
      </c>
      <c r="K232" s="42">
        <v>0</v>
      </c>
      <c r="L232" s="42">
        <v>1</v>
      </c>
    </row>
    <row r="233" ht="14.25" customHeight="1">
      <c r="A233" s="42" t="s">
        <v>15</v>
      </c>
      <c r="B233" s="43" t="s">
        <v>53</v>
      </c>
      <c r="C233" s="43">
        <v>0</v>
      </c>
      <c r="D233" s="43">
        <v>14</v>
      </c>
      <c r="E233" s="44">
        <v>-70.683313549999994</v>
      </c>
      <c r="F233" s="44">
        <v>-33.45522819</v>
      </c>
      <c r="G233" s="45">
        <v>46126.269999999997</v>
      </c>
      <c r="H233" s="43">
        <v>1</v>
      </c>
      <c r="I233" s="42">
        <v>1</v>
      </c>
      <c r="J233" s="42">
        <v>0</v>
      </c>
      <c r="K233" s="42">
        <v>0.10000000000000001</v>
      </c>
      <c r="L233" s="42">
        <v>1</v>
      </c>
    </row>
    <row r="234" ht="14.25" customHeight="1">
      <c r="A234" s="42" t="s">
        <v>15</v>
      </c>
      <c r="B234" s="43" t="s">
        <v>54</v>
      </c>
      <c r="C234" s="43">
        <v>0</v>
      </c>
      <c r="D234" s="43">
        <v>1</v>
      </c>
      <c r="E234" s="44">
        <v>-71.034383199999994</v>
      </c>
      <c r="F234" s="44">
        <v>-33.687748999999897</v>
      </c>
      <c r="G234" s="45">
        <v>3520.3499999999999</v>
      </c>
      <c r="H234" s="43">
        <v>1</v>
      </c>
      <c r="I234" s="42">
        <v>1</v>
      </c>
      <c r="J234" s="42">
        <v>1</v>
      </c>
      <c r="K234" s="42">
        <v>0.80000000000000004</v>
      </c>
      <c r="L234" s="42">
        <v>1</v>
      </c>
    </row>
    <row r="235" ht="14.25" customHeight="1">
      <c r="A235" s="42" t="s">
        <v>15</v>
      </c>
      <c r="B235" s="43" t="s">
        <v>54</v>
      </c>
      <c r="C235" s="43">
        <v>0</v>
      </c>
      <c r="D235" s="43">
        <v>2</v>
      </c>
      <c r="E235" s="44">
        <v>-70.9806624</v>
      </c>
      <c r="F235" s="44">
        <v>-33.680539799999998</v>
      </c>
      <c r="G235" s="45">
        <v>8639.2999999999993</v>
      </c>
      <c r="H235" s="43">
        <v>1</v>
      </c>
      <c r="I235" s="42">
        <v>1</v>
      </c>
      <c r="J235" s="42">
        <v>0</v>
      </c>
      <c r="K235" s="42">
        <v>0.10000000000000001</v>
      </c>
      <c r="L235" s="42">
        <v>1</v>
      </c>
    </row>
    <row r="236" ht="14.25" customHeight="1">
      <c r="A236" s="42" t="s">
        <v>15</v>
      </c>
      <c r="B236" s="43" t="s">
        <v>54</v>
      </c>
      <c r="C236" s="43">
        <v>0</v>
      </c>
      <c r="D236" s="43">
        <v>3</v>
      </c>
      <c r="E236" s="44">
        <v>-70.982632899999899</v>
      </c>
      <c r="F236" s="44">
        <v>-33.677709950000001</v>
      </c>
      <c r="G236" s="45">
        <v>9743.3799999999992</v>
      </c>
      <c r="H236" s="43">
        <v>1</v>
      </c>
      <c r="I236" s="42">
        <v>0</v>
      </c>
      <c r="J236" s="42">
        <v>0</v>
      </c>
      <c r="K236" s="42">
        <v>0</v>
      </c>
      <c r="L236" s="42">
        <v>1</v>
      </c>
    </row>
    <row r="237" ht="14.25" customHeight="1">
      <c r="A237" s="42" t="s">
        <v>15</v>
      </c>
      <c r="B237" s="43" t="s">
        <v>54</v>
      </c>
      <c r="C237" s="43">
        <v>0</v>
      </c>
      <c r="D237" s="43">
        <v>4</v>
      </c>
      <c r="E237" s="44">
        <v>-70.961077200000005</v>
      </c>
      <c r="F237" s="44">
        <v>-33.681129499999898</v>
      </c>
      <c r="G237" s="45">
        <v>13670.9</v>
      </c>
      <c r="H237" s="43">
        <v>1</v>
      </c>
      <c r="I237" s="42">
        <v>0</v>
      </c>
      <c r="J237" s="42">
        <v>0</v>
      </c>
      <c r="K237" s="42">
        <v>0</v>
      </c>
      <c r="L237" s="42">
        <v>1</v>
      </c>
    </row>
    <row r="238" ht="14.25" customHeight="1">
      <c r="A238" s="42" t="s">
        <v>15</v>
      </c>
      <c r="B238" s="43" t="s">
        <v>54</v>
      </c>
      <c r="C238" s="43">
        <v>0</v>
      </c>
      <c r="D238" s="43">
        <v>5</v>
      </c>
      <c r="E238" s="44">
        <v>-70.925754709000003</v>
      </c>
      <c r="F238" s="44">
        <v>-33.663865926</v>
      </c>
      <c r="G238" s="45">
        <v>17654.349999999999</v>
      </c>
      <c r="H238" s="43">
        <v>1</v>
      </c>
      <c r="I238" s="42">
        <v>0</v>
      </c>
      <c r="J238" s="42">
        <v>0</v>
      </c>
      <c r="K238" s="42">
        <v>0</v>
      </c>
      <c r="L238" s="42">
        <v>1</v>
      </c>
    </row>
    <row r="239" ht="14.25" customHeight="1">
      <c r="A239" s="42" t="s">
        <v>15</v>
      </c>
      <c r="B239" s="43" t="s">
        <v>54</v>
      </c>
      <c r="C239" s="43">
        <v>0</v>
      </c>
      <c r="D239" s="43">
        <v>6</v>
      </c>
      <c r="E239" s="44">
        <v>-70.889419000000004</v>
      </c>
      <c r="F239" s="44">
        <v>-33.650272800000003</v>
      </c>
      <c r="G239" s="45">
        <v>21465.779999999999</v>
      </c>
      <c r="H239" s="43">
        <v>1</v>
      </c>
      <c r="I239" s="42">
        <v>0</v>
      </c>
      <c r="J239" s="42">
        <v>0</v>
      </c>
      <c r="K239" s="42">
        <v>0</v>
      </c>
      <c r="L239" s="42">
        <v>1</v>
      </c>
    </row>
    <row r="240" ht="14.25" customHeight="1">
      <c r="A240" s="42" t="s">
        <v>15</v>
      </c>
      <c r="B240" s="43" t="s">
        <v>54</v>
      </c>
      <c r="C240" s="43">
        <v>0</v>
      </c>
      <c r="D240" s="43">
        <v>7</v>
      </c>
      <c r="E240" s="44">
        <v>-70.859174600000003</v>
      </c>
      <c r="F240" s="44">
        <v>-33.612017551000001</v>
      </c>
      <c r="G240" s="45">
        <v>26575.849999999999</v>
      </c>
      <c r="H240" s="43">
        <v>1</v>
      </c>
      <c r="I240" s="42">
        <v>0</v>
      </c>
      <c r="J240" s="42">
        <v>0</v>
      </c>
      <c r="K240" s="42">
        <v>0</v>
      </c>
      <c r="L240" s="42">
        <v>1</v>
      </c>
    </row>
    <row r="241" ht="14.25" customHeight="1">
      <c r="A241" s="42" t="s">
        <v>15</v>
      </c>
      <c r="B241" s="43" t="s">
        <v>54</v>
      </c>
      <c r="C241" s="43">
        <v>0</v>
      </c>
      <c r="D241" s="43">
        <v>8</v>
      </c>
      <c r="E241" s="44">
        <v>-70.844713260999995</v>
      </c>
      <c r="F241" s="44">
        <v>-33.589338153999996</v>
      </c>
      <c r="G241" s="45">
        <v>30187.709999999999</v>
      </c>
      <c r="H241" s="43">
        <v>1</v>
      </c>
      <c r="I241" s="42">
        <v>0</v>
      </c>
      <c r="J241" s="42">
        <v>0</v>
      </c>
      <c r="K241" s="42">
        <v>0</v>
      </c>
      <c r="L241" s="42">
        <v>0</v>
      </c>
    </row>
    <row r="242" ht="14.25" customHeight="1">
      <c r="A242" s="42" t="s">
        <v>15</v>
      </c>
      <c r="B242" s="43" t="s">
        <v>54</v>
      </c>
      <c r="C242" s="43">
        <v>0</v>
      </c>
      <c r="D242" s="43">
        <v>9</v>
      </c>
      <c r="E242" s="44">
        <v>-70.810397800000004</v>
      </c>
      <c r="F242" s="44">
        <v>-33.550910049999999</v>
      </c>
      <c r="G242" s="45">
        <v>36626.709999999999</v>
      </c>
      <c r="H242" s="43">
        <v>1</v>
      </c>
      <c r="I242" s="42">
        <v>0</v>
      </c>
      <c r="J242" s="42">
        <v>0</v>
      </c>
      <c r="K242" s="42">
        <v>0</v>
      </c>
      <c r="L242" s="42">
        <v>0</v>
      </c>
    </row>
    <row r="243" ht="14.25" customHeight="1">
      <c r="A243" s="42" t="s">
        <v>15</v>
      </c>
      <c r="B243" s="43" t="s">
        <v>54</v>
      </c>
      <c r="C243" s="43">
        <v>0</v>
      </c>
      <c r="D243" s="43">
        <v>10</v>
      </c>
      <c r="E243" s="44">
        <v>-70.753164034999898</v>
      </c>
      <c r="F243" s="44">
        <v>-33.493385009999898</v>
      </c>
      <c r="G243" s="45">
        <v>46711.339999999997</v>
      </c>
      <c r="H243" s="43">
        <v>1</v>
      </c>
      <c r="I243" s="42">
        <v>0</v>
      </c>
      <c r="J243" s="42">
        <v>0</v>
      </c>
      <c r="K243" s="42">
        <v>0</v>
      </c>
      <c r="L243" s="42">
        <v>0</v>
      </c>
    </row>
    <row r="244" ht="14.25" customHeight="1">
      <c r="A244" s="42" t="s">
        <v>15</v>
      </c>
      <c r="B244" s="43" t="s">
        <v>54</v>
      </c>
      <c r="C244" s="43">
        <v>0</v>
      </c>
      <c r="D244" s="43">
        <v>11</v>
      </c>
      <c r="E244" s="44">
        <v>-70.696323849999899</v>
      </c>
      <c r="F244" s="44">
        <v>-33.479203649999903</v>
      </c>
      <c r="G244" s="45">
        <v>52420.459999999999</v>
      </c>
      <c r="H244" s="43">
        <v>1</v>
      </c>
      <c r="I244" s="42">
        <v>0</v>
      </c>
      <c r="J244" s="42">
        <v>0</v>
      </c>
      <c r="K244" s="42">
        <v>0</v>
      </c>
      <c r="L244" s="42">
        <v>0</v>
      </c>
    </row>
    <row r="245" ht="14.25" customHeight="1">
      <c r="A245" s="42" t="s">
        <v>15</v>
      </c>
      <c r="B245" s="43" t="s">
        <v>54</v>
      </c>
      <c r="C245" s="43">
        <v>0</v>
      </c>
      <c r="D245" s="43">
        <v>12</v>
      </c>
      <c r="E245" s="44">
        <v>-70.687971699999906</v>
      </c>
      <c r="F245" s="44">
        <v>-33.472623599999999</v>
      </c>
      <c r="G245" s="45">
        <v>54886</v>
      </c>
      <c r="H245" s="43">
        <v>1</v>
      </c>
      <c r="I245" s="42">
        <v>0</v>
      </c>
      <c r="J245" s="42">
        <v>0</v>
      </c>
      <c r="K245" s="42">
        <v>0</v>
      </c>
      <c r="L245" s="42">
        <v>1</v>
      </c>
    </row>
    <row r="246" ht="14.25" customHeight="1">
      <c r="A246" s="42" t="s">
        <v>15</v>
      </c>
      <c r="B246" s="43" t="s">
        <v>54</v>
      </c>
      <c r="C246" s="43">
        <v>0</v>
      </c>
      <c r="D246" s="43">
        <v>13</v>
      </c>
      <c r="E246" s="44">
        <v>-70.684333050000006</v>
      </c>
      <c r="F246" s="44">
        <v>-33.463832099999898</v>
      </c>
      <c r="G246" s="45">
        <v>56204.019999999997</v>
      </c>
      <c r="H246" s="43">
        <v>1</v>
      </c>
      <c r="I246" s="42">
        <v>0</v>
      </c>
      <c r="J246" s="42">
        <v>0</v>
      </c>
      <c r="K246" s="42">
        <v>0</v>
      </c>
      <c r="L246" s="42">
        <v>1</v>
      </c>
    </row>
    <row r="247" ht="14.25" customHeight="1">
      <c r="A247" s="42" t="s">
        <v>15</v>
      </c>
      <c r="B247" s="43" t="s">
        <v>54</v>
      </c>
      <c r="C247" s="43">
        <v>0</v>
      </c>
      <c r="D247" s="43">
        <v>14</v>
      </c>
      <c r="E247" s="44">
        <v>-70.683160189000006</v>
      </c>
      <c r="F247" s="44">
        <v>-33.455169677999997</v>
      </c>
      <c r="G247" s="45">
        <v>57212.169999999998</v>
      </c>
      <c r="H247" s="43">
        <v>1</v>
      </c>
      <c r="I247" s="42">
        <v>1</v>
      </c>
      <c r="J247" s="42">
        <v>0</v>
      </c>
      <c r="K247" s="42">
        <v>0.10000000000000001</v>
      </c>
      <c r="L247" s="42">
        <v>1</v>
      </c>
    </row>
    <row r="248" ht="14.25" customHeight="1">
      <c r="A248" s="42" t="s">
        <v>15</v>
      </c>
      <c r="B248" s="43" t="s">
        <v>54</v>
      </c>
      <c r="C248" s="43">
        <v>1</v>
      </c>
      <c r="D248" s="43">
        <v>1</v>
      </c>
      <c r="E248" s="44">
        <v>-70.680772223000005</v>
      </c>
      <c r="F248" s="44">
        <v>-33.458360698</v>
      </c>
      <c r="G248" s="45">
        <v>186.72</v>
      </c>
      <c r="H248" s="43">
        <v>1</v>
      </c>
      <c r="I248" s="42">
        <v>1</v>
      </c>
      <c r="J248" s="42">
        <v>1</v>
      </c>
      <c r="K248" s="42">
        <v>0.80000000000000004</v>
      </c>
      <c r="L248" s="42">
        <v>1</v>
      </c>
    </row>
    <row r="249" ht="14.25" customHeight="1">
      <c r="A249" s="42" t="s">
        <v>15</v>
      </c>
      <c r="B249" s="43" t="s">
        <v>54</v>
      </c>
      <c r="C249" s="43">
        <v>1</v>
      </c>
      <c r="D249" s="43">
        <v>2</v>
      </c>
      <c r="E249" s="44">
        <v>-70.686384500000003</v>
      </c>
      <c r="F249" s="44">
        <v>-33.474517499999898</v>
      </c>
      <c r="G249" s="45">
        <v>2334.5300000000002</v>
      </c>
      <c r="H249" s="43">
        <v>1</v>
      </c>
      <c r="I249" s="42">
        <v>1</v>
      </c>
      <c r="J249" s="42">
        <v>0</v>
      </c>
      <c r="K249" s="42">
        <v>0.10000000000000001</v>
      </c>
      <c r="L249" s="42">
        <v>1</v>
      </c>
    </row>
    <row r="250" ht="14.25" customHeight="1">
      <c r="A250" s="42" t="s">
        <v>15</v>
      </c>
      <c r="B250" s="43" t="s">
        <v>54</v>
      </c>
      <c r="C250" s="43">
        <v>1</v>
      </c>
      <c r="D250" s="43">
        <v>3</v>
      </c>
      <c r="E250" s="44">
        <v>-70.695967999999894</v>
      </c>
      <c r="F250" s="44">
        <v>-33.478965199999998</v>
      </c>
      <c r="G250" s="45">
        <v>3375.6900000000001</v>
      </c>
      <c r="H250" s="43">
        <v>1</v>
      </c>
      <c r="I250" s="42">
        <v>0</v>
      </c>
      <c r="J250" s="42">
        <v>0</v>
      </c>
      <c r="K250" s="42">
        <v>0</v>
      </c>
      <c r="L250" s="42">
        <v>0</v>
      </c>
    </row>
    <row r="251" ht="14.25" customHeight="1">
      <c r="A251" s="42" t="s">
        <v>15</v>
      </c>
      <c r="B251" s="43" t="s">
        <v>54</v>
      </c>
      <c r="C251" s="43">
        <v>1</v>
      </c>
      <c r="D251" s="43">
        <v>4</v>
      </c>
      <c r="E251" s="44">
        <v>-70.760056749999904</v>
      </c>
      <c r="F251" s="44">
        <v>-33.493626549999902</v>
      </c>
      <c r="G251" s="45">
        <v>9769</v>
      </c>
      <c r="H251" s="43">
        <v>1</v>
      </c>
      <c r="I251" s="42">
        <v>0</v>
      </c>
      <c r="J251" s="42">
        <v>0</v>
      </c>
      <c r="K251" s="42">
        <v>0</v>
      </c>
      <c r="L251" s="42">
        <v>0</v>
      </c>
    </row>
    <row r="252" ht="14.25" customHeight="1">
      <c r="A252" s="42" t="s">
        <v>15</v>
      </c>
      <c r="B252" s="43" t="s">
        <v>54</v>
      </c>
      <c r="C252" s="43">
        <v>1</v>
      </c>
      <c r="D252" s="43">
        <v>5</v>
      </c>
      <c r="E252" s="44">
        <v>-70.799117099999904</v>
      </c>
      <c r="F252" s="44">
        <v>-33.5246955</v>
      </c>
      <c r="G252" s="45">
        <v>16075.299999999999</v>
      </c>
      <c r="H252" s="43">
        <v>1</v>
      </c>
      <c r="I252" s="42">
        <v>0</v>
      </c>
      <c r="J252" s="42">
        <v>0</v>
      </c>
      <c r="K252" s="42">
        <v>0</v>
      </c>
      <c r="L252" s="42">
        <v>0</v>
      </c>
    </row>
    <row r="253" ht="14.25" customHeight="1">
      <c r="A253" s="42" t="s">
        <v>15</v>
      </c>
      <c r="B253" s="43" t="s">
        <v>54</v>
      </c>
      <c r="C253" s="43">
        <v>1</v>
      </c>
      <c r="D253" s="43">
        <v>6</v>
      </c>
      <c r="E253" s="44">
        <v>-70.846728299999896</v>
      </c>
      <c r="F253" s="44">
        <v>-33.567421349999996</v>
      </c>
      <c r="G253" s="45">
        <v>23098.360000000001</v>
      </c>
      <c r="H253" s="43">
        <v>1</v>
      </c>
      <c r="I253" s="42">
        <v>0</v>
      </c>
      <c r="J253" s="42">
        <v>0</v>
      </c>
      <c r="K253" s="42">
        <v>0</v>
      </c>
      <c r="L253" s="42">
        <v>0</v>
      </c>
    </row>
    <row r="254" ht="14.25" customHeight="1">
      <c r="A254" s="42" t="s">
        <v>15</v>
      </c>
      <c r="B254" s="43" t="s">
        <v>54</v>
      </c>
      <c r="C254" s="43">
        <v>1</v>
      </c>
      <c r="D254" s="43">
        <v>7</v>
      </c>
      <c r="E254" s="44">
        <v>-70.855641899999995</v>
      </c>
      <c r="F254" s="44">
        <v>-33.609795300000002</v>
      </c>
      <c r="G254" s="45">
        <v>28371.91</v>
      </c>
      <c r="H254" s="43">
        <v>1</v>
      </c>
      <c r="I254" s="42">
        <v>0</v>
      </c>
      <c r="J254" s="42">
        <v>0</v>
      </c>
      <c r="K254" s="42">
        <v>0</v>
      </c>
      <c r="L254" s="42">
        <v>1</v>
      </c>
    </row>
    <row r="255" ht="14.25" customHeight="1">
      <c r="A255" s="42" t="s">
        <v>15</v>
      </c>
      <c r="B255" s="43" t="s">
        <v>54</v>
      </c>
      <c r="C255" s="43">
        <v>1</v>
      </c>
      <c r="D255" s="43">
        <v>8</v>
      </c>
      <c r="E255" s="44">
        <v>-70.868144118999993</v>
      </c>
      <c r="F255" s="44">
        <v>-33.623989822999903</v>
      </c>
      <c r="G255" s="45">
        <v>30401.77</v>
      </c>
      <c r="H255" s="43">
        <v>1</v>
      </c>
      <c r="I255" s="42">
        <v>0</v>
      </c>
      <c r="J255" s="42">
        <v>0</v>
      </c>
      <c r="K255" s="42">
        <v>0</v>
      </c>
      <c r="L255" s="42">
        <v>1</v>
      </c>
    </row>
    <row r="256" ht="14.25" customHeight="1">
      <c r="A256" s="42" t="s">
        <v>15</v>
      </c>
      <c r="B256" s="43" t="s">
        <v>54</v>
      </c>
      <c r="C256" s="43">
        <v>1</v>
      </c>
      <c r="D256" s="43">
        <v>9</v>
      </c>
      <c r="E256" s="44">
        <v>-70.893879799999993</v>
      </c>
      <c r="F256" s="44">
        <v>-33.651779201999901</v>
      </c>
      <c r="G256" s="45">
        <v>34392.019999999997</v>
      </c>
      <c r="H256" s="43">
        <v>1</v>
      </c>
      <c r="I256" s="42">
        <v>0</v>
      </c>
      <c r="J256" s="42">
        <v>0</v>
      </c>
      <c r="K256" s="42">
        <v>0</v>
      </c>
      <c r="L256" s="42">
        <v>1</v>
      </c>
    </row>
    <row r="257" ht="14.25" customHeight="1">
      <c r="A257" s="42" t="s">
        <v>15</v>
      </c>
      <c r="B257" s="43" t="s">
        <v>54</v>
      </c>
      <c r="C257" s="43">
        <v>1</v>
      </c>
      <c r="D257" s="43">
        <v>10</v>
      </c>
      <c r="E257" s="44">
        <v>-70.927485797000003</v>
      </c>
      <c r="F257" s="44">
        <v>-33.662163595000003</v>
      </c>
      <c r="G257" s="45">
        <v>38042.230000000003</v>
      </c>
      <c r="H257" s="43">
        <v>1</v>
      </c>
      <c r="I257" s="42">
        <v>0</v>
      </c>
      <c r="J257" s="42">
        <v>0</v>
      </c>
      <c r="K257" s="42">
        <v>0</v>
      </c>
      <c r="L257" s="42">
        <v>1</v>
      </c>
    </row>
    <row r="258" ht="14.25" customHeight="1">
      <c r="A258" s="42" t="s">
        <v>15</v>
      </c>
      <c r="B258" s="43" t="s">
        <v>54</v>
      </c>
      <c r="C258" s="43">
        <v>1</v>
      </c>
      <c r="D258" s="43">
        <v>11</v>
      </c>
      <c r="E258" s="44">
        <v>-70.943268650999997</v>
      </c>
      <c r="F258" s="44">
        <v>-33.671301749999898</v>
      </c>
      <c r="G258" s="45">
        <v>39967.290000000001</v>
      </c>
      <c r="H258" s="43">
        <v>1</v>
      </c>
      <c r="I258" s="42">
        <v>0</v>
      </c>
      <c r="J258" s="42">
        <v>0</v>
      </c>
      <c r="K258" s="42">
        <v>0</v>
      </c>
      <c r="L258" s="42">
        <v>1</v>
      </c>
    </row>
    <row r="259" ht="14.25" customHeight="1">
      <c r="A259" s="42" t="s">
        <v>15</v>
      </c>
      <c r="B259" s="43" t="s">
        <v>54</v>
      </c>
      <c r="C259" s="43">
        <v>1</v>
      </c>
      <c r="D259" s="43">
        <v>12</v>
      </c>
      <c r="E259" s="44">
        <v>-70.961618400000006</v>
      </c>
      <c r="F259" s="44">
        <v>-33.681247200000001</v>
      </c>
      <c r="G259" s="45">
        <v>42036.519999999997</v>
      </c>
      <c r="H259" s="43">
        <v>1</v>
      </c>
      <c r="I259" s="42">
        <v>0</v>
      </c>
      <c r="J259" s="42">
        <v>0</v>
      </c>
      <c r="K259" s="42">
        <v>0</v>
      </c>
      <c r="L259" s="42">
        <v>1</v>
      </c>
    </row>
    <row r="260" ht="14.25" customHeight="1">
      <c r="A260" s="42" t="s">
        <v>15</v>
      </c>
      <c r="B260" s="43" t="s">
        <v>54</v>
      </c>
      <c r="C260" s="43">
        <v>1</v>
      </c>
      <c r="D260" s="43">
        <v>13</v>
      </c>
      <c r="E260" s="44">
        <v>-70.986233099999893</v>
      </c>
      <c r="F260" s="44">
        <v>-33.682695199999998</v>
      </c>
      <c r="G260" s="45">
        <v>45405.199999999997</v>
      </c>
      <c r="H260" s="43">
        <v>1</v>
      </c>
      <c r="I260" s="42">
        <v>0</v>
      </c>
      <c r="J260" s="42">
        <v>0</v>
      </c>
      <c r="K260" s="42">
        <v>0</v>
      </c>
      <c r="L260" s="42">
        <v>1</v>
      </c>
    </row>
    <row r="261" ht="14.25" customHeight="1">
      <c r="A261" s="42" t="s">
        <v>15</v>
      </c>
      <c r="B261" s="43" t="s">
        <v>54</v>
      </c>
      <c r="C261" s="43">
        <v>1</v>
      </c>
      <c r="D261" s="43">
        <v>14</v>
      </c>
      <c r="E261" s="44">
        <v>-71.013974300000001</v>
      </c>
      <c r="F261" s="44">
        <v>-33.685205799999999</v>
      </c>
      <c r="G261" s="45">
        <v>48031.349999999999</v>
      </c>
      <c r="H261" s="43">
        <v>1</v>
      </c>
      <c r="I261" s="42">
        <v>0</v>
      </c>
      <c r="J261" s="42">
        <v>0</v>
      </c>
      <c r="K261" s="42">
        <v>0</v>
      </c>
      <c r="L261" s="42">
        <v>1</v>
      </c>
    </row>
    <row r="262" ht="14.25" customHeight="1">
      <c r="A262" s="42" t="s">
        <v>15</v>
      </c>
      <c r="B262" s="43" t="s">
        <v>54</v>
      </c>
      <c r="C262" s="43">
        <v>1</v>
      </c>
      <c r="D262" s="43">
        <v>15</v>
      </c>
      <c r="E262" s="44">
        <v>-71.038796692000005</v>
      </c>
      <c r="F262" s="44">
        <v>-33.688255617999999</v>
      </c>
      <c r="G262" s="45">
        <v>50363.339999999997</v>
      </c>
      <c r="H262" s="43">
        <v>1</v>
      </c>
      <c r="I262" s="42">
        <v>1</v>
      </c>
      <c r="J262" s="42">
        <v>0</v>
      </c>
      <c r="K262" s="42">
        <v>0.10000000000000001</v>
      </c>
      <c r="L262" s="42">
        <v>1</v>
      </c>
    </row>
    <row r="263" ht="14.25" customHeight="1">
      <c r="A263" s="42" t="s">
        <v>15</v>
      </c>
      <c r="B263" s="43" t="s">
        <v>55</v>
      </c>
      <c r="C263" s="43">
        <v>0</v>
      </c>
      <c r="D263" s="43">
        <v>1</v>
      </c>
      <c r="E263" s="44">
        <v>-71.039528469000004</v>
      </c>
      <c r="F263" s="44">
        <v>-33.688352750999996</v>
      </c>
      <c r="G263" s="45">
        <v>3038.3899999999999</v>
      </c>
      <c r="H263" s="43">
        <v>1</v>
      </c>
      <c r="I263" s="42">
        <v>1</v>
      </c>
      <c r="J263" s="42">
        <v>1</v>
      </c>
      <c r="K263" s="42">
        <v>0.80000000000000004</v>
      </c>
      <c r="L263" s="42">
        <v>1</v>
      </c>
    </row>
    <row r="264" ht="14.25" customHeight="1">
      <c r="A264" s="42" t="s">
        <v>15</v>
      </c>
      <c r="B264" s="43" t="s">
        <v>55</v>
      </c>
      <c r="C264" s="43">
        <v>0</v>
      </c>
      <c r="D264" s="43">
        <v>2</v>
      </c>
      <c r="E264" s="44">
        <v>-71.016730949000006</v>
      </c>
      <c r="F264" s="44">
        <v>-33.685858499999902</v>
      </c>
      <c r="G264" s="45">
        <v>5173.3999999999996</v>
      </c>
      <c r="H264" s="43">
        <v>1</v>
      </c>
      <c r="I264" s="42">
        <v>1</v>
      </c>
      <c r="J264" s="42">
        <v>0</v>
      </c>
      <c r="K264" s="42">
        <v>0.10000000000000001</v>
      </c>
      <c r="L264" s="42">
        <v>1</v>
      </c>
    </row>
    <row r="265" ht="14.25" customHeight="1">
      <c r="A265" s="42" t="s">
        <v>15</v>
      </c>
      <c r="B265" s="43" t="s">
        <v>55</v>
      </c>
      <c r="C265" s="43">
        <v>0</v>
      </c>
      <c r="D265" s="43">
        <v>3</v>
      </c>
      <c r="E265" s="44">
        <v>-70.994639899999996</v>
      </c>
      <c r="F265" s="44">
        <v>-33.683364099999999</v>
      </c>
      <c r="G265" s="45">
        <v>7262.4200000000001</v>
      </c>
      <c r="H265" s="43">
        <v>1</v>
      </c>
      <c r="I265" s="42">
        <v>0</v>
      </c>
      <c r="J265" s="42">
        <v>0</v>
      </c>
      <c r="K265" s="42">
        <v>0</v>
      </c>
      <c r="L265" s="42">
        <v>1</v>
      </c>
    </row>
    <row r="266" ht="14.25" customHeight="1">
      <c r="A266" s="42" t="s">
        <v>15</v>
      </c>
      <c r="B266" s="43" t="s">
        <v>55</v>
      </c>
      <c r="C266" s="43">
        <v>0</v>
      </c>
      <c r="D266" s="43">
        <v>4</v>
      </c>
      <c r="E266" s="44">
        <v>-70.988465149999996</v>
      </c>
      <c r="F266" s="44">
        <v>-33.683203550000002</v>
      </c>
      <c r="G266" s="45">
        <v>7850.5100000000002</v>
      </c>
      <c r="H266" s="43">
        <v>1</v>
      </c>
      <c r="I266" s="42">
        <v>0</v>
      </c>
      <c r="J266" s="42">
        <v>0</v>
      </c>
      <c r="K266" s="42">
        <v>0</v>
      </c>
      <c r="L266" s="42">
        <v>1</v>
      </c>
    </row>
    <row r="267" ht="14.25" customHeight="1">
      <c r="A267" s="42" t="s">
        <v>15</v>
      </c>
      <c r="B267" s="43" t="s">
        <v>55</v>
      </c>
      <c r="C267" s="43">
        <v>0</v>
      </c>
      <c r="D267" s="43">
        <v>5</v>
      </c>
      <c r="E267" s="44">
        <v>-70.980216286000001</v>
      </c>
      <c r="F267" s="44">
        <v>-33.680159513</v>
      </c>
      <c r="G267" s="45">
        <v>8698.4200000000001</v>
      </c>
      <c r="H267" s="43">
        <v>1</v>
      </c>
      <c r="I267" s="42">
        <v>0</v>
      </c>
      <c r="J267" s="42">
        <v>0</v>
      </c>
      <c r="K267" s="42">
        <v>0</v>
      </c>
      <c r="L267" s="42">
        <v>1</v>
      </c>
    </row>
    <row r="268" ht="14.25" customHeight="1">
      <c r="A268" s="42" t="s">
        <v>15</v>
      </c>
      <c r="B268" s="43" t="s">
        <v>55</v>
      </c>
      <c r="C268" s="43">
        <v>0</v>
      </c>
      <c r="D268" s="43">
        <v>6</v>
      </c>
      <c r="E268" s="44">
        <v>-70.977940599999997</v>
      </c>
      <c r="F268" s="44">
        <v>-33.678171099999901</v>
      </c>
      <c r="G268" s="45">
        <v>9262.3199999999997</v>
      </c>
      <c r="H268" s="43">
        <v>1</v>
      </c>
      <c r="I268" s="42">
        <v>0</v>
      </c>
      <c r="J268" s="42">
        <v>0</v>
      </c>
      <c r="K268" s="42">
        <v>0</v>
      </c>
      <c r="L268" s="42">
        <v>1</v>
      </c>
    </row>
    <row r="269" ht="14.25" customHeight="1">
      <c r="A269" s="42" t="s">
        <v>15</v>
      </c>
      <c r="B269" s="43" t="s">
        <v>55</v>
      </c>
      <c r="C269" s="43">
        <v>0</v>
      </c>
      <c r="D269" s="43">
        <v>7</v>
      </c>
      <c r="E269" s="44">
        <v>-70.982632899999899</v>
      </c>
      <c r="F269" s="44">
        <v>-33.677709950000001</v>
      </c>
      <c r="G269" s="45">
        <v>9743.4200000000001</v>
      </c>
      <c r="H269" s="43">
        <v>1</v>
      </c>
      <c r="I269" s="42">
        <v>0</v>
      </c>
      <c r="J269" s="42">
        <v>0</v>
      </c>
      <c r="K269" s="42">
        <v>0</v>
      </c>
      <c r="L269" s="42">
        <v>1</v>
      </c>
    </row>
    <row r="270" ht="14.25" customHeight="1">
      <c r="A270" s="42" t="s">
        <v>15</v>
      </c>
      <c r="B270" s="43" t="s">
        <v>55</v>
      </c>
      <c r="C270" s="43">
        <v>0</v>
      </c>
      <c r="D270" s="43">
        <v>8</v>
      </c>
      <c r="E270" s="44">
        <v>-70.985542962999901</v>
      </c>
      <c r="F270" s="44">
        <v>-33.678520022999997</v>
      </c>
      <c r="G270" s="45">
        <v>10094.809999999999</v>
      </c>
      <c r="H270" s="43">
        <v>1</v>
      </c>
      <c r="I270" s="42">
        <v>0</v>
      </c>
      <c r="J270" s="42">
        <v>0</v>
      </c>
      <c r="K270" s="42">
        <v>0</v>
      </c>
      <c r="L270" s="42">
        <v>1</v>
      </c>
    </row>
    <row r="271" ht="14.25" customHeight="1">
      <c r="A271" s="42" t="s">
        <v>15</v>
      </c>
      <c r="B271" s="43" t="s">
        <v>55</v>
      </c>
      <c r="C271" s="43">
        <v>0</v>
      </c>
      <c r="D271" s="43">
        <v>9</v>
      </c>
      <c r="E271" s="44">
        <v>-70.930569296000002</v>
      </c>
      <c r="F271" s="44">
        <v>-33.665832039000001</v>
      </c>
      <c r="G271" s="45">
        <v>17157.34</v>
      </c>
      <c r="H271" s="43">
        <v>1</v>
      </c>
      <c r="I271" s="42">
        <v>0</v>
      </c>
      <c r="J271" s="42">
        <v>0</v>
      </c>
      <c r="K271" s="42">
        <v>0</v>
      </c>
      <c r="L271" s="42">
        <v>1</v>
      </c>
    </row>
    <row r="272" ht="14.25" customHeight="1">
      <c r="A272" s="42" t="s">
        <v>15</v>
      </c>
      <c r="B272" s="43" t="s">
        <v>55</v>
      </c>
      <c r="C272" s="43">
        <v>0</v>
      </c>
      <c r="D272" s="43">
        <v>10</v>
      </c>
      <c r="E272" s="44">
        <v>-70.907380093</v>
      </c>
      <c r="F272" s="44">
        <v>-33.664890178</v>
      </c>
      <c r="G272" s="45">
        <v>20835.689999999999</v>
      </c>
      <c r="H272" s="43">
        <v>1</v>
      </c>
      <c r="I272" s="42">
        <v>0</v>
      </c>
      <c r="J272" s="42">
        <v>0</v>
      </c>
      <c r="K272" s="42">
        <v>0</v>
      </c>
      <c r="L272" s="42">
        <v>0</v>
      </c>
    </row>
    <row r="273" ht="14.25" customHeight="1">
      <c r="A273" s="42" t="s">
        <v>15</v>
      </c>
      <c r="B273" s="43" t="s">
        <v>55</v>
      </c>
      <c r="C273" s="43">
        <v>0</v>
      </c>
      <c r="D273" s="43">
        <v>11</v>
      </c>
      <c r="E273" s="44">
        <v>-70.859547120999906</v>
      </c>
      <c r="F273" s="44">
        <v>-33.621468522999997</v>
      </c>
      <c r="G273" s="45">
        <v>27530.060000000001</v>
      </c>
      <c r="H273" s="43">
        <v>1</v>
      </c>
      <c r="I273" s="42">
        <v>0</v>
      </c>
      <c r="J273" s="42">
        <v>0</v>
      </c>
      <c r="K273" s="42">
        <v>0</v>
      </c>
      <c r="L273" s="42">
        <v>0</v>
      </c>
    </row>
    <row r="274" ht="14.25" customHeight="1">
      <c r="A274" s="42" t="s">
        <v>15</v>
      </c>
      <c r="B274" s="43" t="s">
        <v>55</v>
      </c>
      <c r="C274" s="43">
        <v>0</v>
      </c>
      <c r="D274" s="43">
        <v>12</v>
      </c>
      <c r="E274" s="44">
        <v>-70.840500865999999</v>
      </c>
      <c r="F274" s="44">
        <v>-33.5633596609999</v>
      </c>
      <c r="G274" s="45">
        <v>34728.459999999999</v>
      </c>
      <c r="H274" s="43">
        <v>1</v>
      </c>
      <c r="I274" s="42">
        <v>0</v>
      </c>
      <c r="J274" s="42">
        <v>0</v>
      </c>
      <c r="K274" s="42">
        <v>0</v>
      </c>
      <c r="L274" s="42">
        <v>0</v>
      </c>
    </row>
    <row r="275" ht="14.25" customHeight="1">
      <c r="A275" s="42" t="s">
        <v>15</v>
      </c>
      <c r="B275" s="43" t="s">
        <v>55</v>
      </c>
      <c r="C275" s="43">
        <v>0</v>
      </c>
      <c r="D275" s="43">
        <v>13</v>
      </c>
      <c r="E275" s="44">
        <v>-70.799066100000005</v>
      </c>
      <c r="F275" s="44">
        <v>-33.521140099999997</v>
      </c>
      <c r="G275" s="45">
        <v>41418.019999999997</v>
      </c>
      <c r="H275" s="43">
        <v>1</v>
      </c>
      <c r="I275" s="42">
        <v>0</v>
      </c>
      <c r="J275" s="42">
        <v>0</v>
      </c>
      <c r="K275" s="42">
        <v>0</v>
      </c>
      <c r="L275" s="42">
        <v>0</v>
      </c>
    </row>
    <row r="276" ht="14.25" customHeight="1">
      <c r="A276" s="42" t="s">
        <v>15</v>
      </c>
      <c r="B276" s="43" t="s">
        <v>55</v>
      </c>
      <c r="C276" s="43">
        <v>0</v>
      </c>
      <c r="D276" s="43">
        <v>14</v>
      </c>
      <c r="E276" s="44">
        <v>-70.740891899999994</v>
      </c>
      <c r="F276" s="44">
        <v>-33.484829750000003</v>
      </c>
      <c r="G276" s="45">
        <v>49455.379999999997</v>
      </c>
      <c r="H276" s="43">
        <v>1</v>
      </c>
      <c r="I276" s="42">
        <v>0</v>
      </c>
      <c r="J276" s="42">
        <v>0</v>
      </c>
      <c r="K276" s="42">
        <v>0</v>
      </c>
      <c r="L276" s="42">
        <v>0</v>
      </c>
    </row>
    <row r="277" ht="14.25" customHeight="1">
      <c r="A277" s="42" t="s">
        <v>15</v>
      </c>
      <c r="B277" s="43" t="s">
        <v>55</v>
      </c>
      <c r="C277" s="43">
        <v>0</v>
      </c>
      <c r="D277" s="43">
        <v>15</v>
      </c>
      <c r="E277" s="44">
        <v>-70.693939900000004</v>
      </c>
      <c r="F277" s="44">
        <v>-33.4785927</v>
      </c>
      <c r="G277" s="45">
        <v>53898.139999999999</v>
      </c>
      <c r="H277" s="43">
        <v>1</v>
      </c>
      <c r="I277" s="42">
        <v>0</v>
      </c>
      <c r="J277" s="42">
        <v>0</v>
      </c>
      <c r="K277" s="42">
        <v>0</v>
      </c>
      <c r="L277" s="42">
        <v>0</v>
      </c>
    </row>
    <row r="278" ht="14.25" customHeight="1">
      <c r="A278" s="42" t="s">
        <v>15</v>
      </c>
      <c r="B278" s="43" t="s">
        <v>55</v>
      </c>
      <c r="C278" s="43">
        <v>0</v>
      </c>
      <c r="D278" s="43">
        <v>16</v>
      </c>
      <c r="E278" s="44">
        <v>-70.687908699999994</v>
      </c>
      <c r="F278" s="44">
        <v>-33.473024100000004</v>
      </c>
      <c r="G278" s="45">
        <v>56087.099999999999</v>
      </c>
      <c r="H278" s="43">
        <v>1</v>
      </c>
      <c r="I278" s="42">
        <v>0</v>
      </c>
      <c r="J278" s="42">
        <v>0</v>
      </c>
      <c r="K278" s="42">
        <v>0</v>
      </c>
      <c r="L278" s="42">
        <v>1</v>
      </c>
    </row>
    <row r="279" ht="14.25" customHeight="1">
      <c r="A279" s="42" t="s">
        <v>15</v>
      </c>
      <c r="B279" s="43" t="s">
        <v>55</v>
      </c>
      <c r="C279" s="43">
        <v>0</v>
      </c>
      <c r="D279" s="43">
        <v>17</v>
      </c>
      <c r="E279" s="44">
        <v>-70.684394260000005</v>
      </c>
      <c r="F279" s="44">
        <v>-33.464992187</v>
      </c>
      <c r="G279" s="45">
        <v>57321.139999999999</v>
      </c>
      <c r="H279" s="43">
        <v>1</v>
      </c>
      <c r="I279" s="42">
        <v>0</v>
      </c>
      <c r="J279" s="42">
        <v>0</v>
      </c>
      <c r="K279" s="42">
        <v>0</v>
      </c>
      <c r="L279" s="42">
        <v>1</v>
      </c>
    </row>
    <row r="280" ht="14.25" customHeight="1">
      <c r="A280" s="42" t="s">
        <v>15</v>
      </c>
      <c r="B280" s="43" t="s">
        <v>55</v>
      </c>
      <c r="C280" s="43">
        <v>0</v>
      </c>
      <c r="D280" s="43">
        <v>18</v>
      </c>
      <c r="E280" s="44">
        <v>-70.683026366000007</v>
      </c>
      <c r="F280" s="44">
        <v>-33.455118621999901</v>
      </c>
      <c r="G280" s="45">
        <v>58471.75</v>
      </c>
      <c r="H280" s="43">
        <v>1</v>
      </c>
      <c r="I280" s="42">
        <v>1</v>
      </c>
      <c r="J280" s="42">
        <v>0</v>
      </c>
      <c r="K280" s="42">
        <v>0.10000000000000001</v>
      </c>
      <c r="L280" s="42">
        <v>1</v>
      </c>
    </row>
    <row r="281" ht="14.25" customHeight="1">
      <c r="A281" s="42" t="s">
        <v>15</v>
      </c>
      <c r="B281" s="43" t="s">
        <v>55</v>
      </c>
      <c r="C281" s="43">
        <v>1</v>
      </c>
      <c r="D281" s="43">
        <v>1</v>
      </c>
      <c r="E281" s="44">
        <v>-70.680772223000005</v>
      </c>
      <c r="F281" s="44">
        <v>-33.458360698</v>
      </c>
      <c r="G281" s="45">
        <v>186.72</v>
      </c>
      <c r="H281" s="43">
        <v>1</v>
      </c>
      <c r="I281" s="42">
        <v>1</v>
      </c>
      <c r="J281" s="42">
        <v>1</v>
      </c>
      <c r="K281" s="42">
        <v>0.80000000000000004</v>
      </c>
      <c r="L281" s="42">
        <v>1</v>
      </c>
    </row>
    <row r="282" ht="14.25" customHeight="1">
      <c r="A282" s="42" t="s">
        <v>15</v>
      </c>
      <c r="B282" s="43" t="s">
        <v>55</v>
      </c>
      <c r="C282" s="43">
        <v>1</v>
      </c>
      <c r="D282" s="43">
        <v>2</v>
      </c>
      <c r="E282" s="44">
        <v>-70.686384500000003</v>
      </c>
      <c r="F282" s="44">
        <v>-33.474517499999898</v>
      </c>
      <c r="G282" s="45">
        <v>2334.5700000000002</v>
      </c>
      <c r="H282" s="43">
        <v>1</v>
      </c>
      <c r="I282" s="42">
        <v>1</v>
      </c>
      <c r="J282" s="42">
        <v>0</v>
      </c>
      <c r="K282" s="42">
        <v>0.10000000000000001</v>
      </c>
      <c r="L282" s="42">
        <v>1</v>
      </c>
    </row>
    <row r="283" ht="14.25" customHeight="1">
      <c r="A283" s="42" t="s">
        <v>15</v>
      </c>
      <c r="B283" s="43" t="s">
        <v>55</v>
      </c>
      <c r="C283" s="43">
        <v>1</v>
      </c>
      <c r="D283" s="43">
        <v>3</v>
      </c>
      <c r="E283" s="44">
        <v>-70.696081574999894</v>
      </c>
      <c r="F283" s="44">
        <v>-33.478997431000003</v>
      </c>
      <c r="G283" s="45">
        <v>3386.8800000000001</v>
      </c>
      <c r="H283" s="43">
        <v>1</v>
      </c>
      <c r="I283" s="42">
        <v>0</v>
      </c>
      <c r="J283" s="42">
        <v>0</v>
      </c>
      <c r="K283" s="42">
        <v>0</v>
      </c>
      <c r="L283" s="42">
        <v>0</v>
      </c>
    </row>
    <row r="284" ht="14.25" customHeight="1">
      <c r="A284" s="42" t="s">
        <v>15</v>
      </c>
      <c r="B284" s="43" t="s">
        <v>55</v>
      </c>
      <c r="C284" s="43">
        <v>1</v>
      </c>
      <c r="D284" s="43">
        <v>4</v>
      </c>
      <c r="E284" s="44">
        <v>-70.730401103000005</v>
      </c>
      <c r="F284" s="44">
        <v>-33.483973032999998</v>
      </c>
      <c r="G284" s="45">
        <v>6641.96</v>
      </c>
      <c r="H284" s="43">
        <v>1</v>
      </c>
      <c r="I284" s="42">
        <v>0</v>
      </c>
      <c r="J284" s="42">
        <v>0</v>
      </c>
      <c r="K284" s="42">
        <v>0</v>
      </c>
      <c r="L284" s="42">
        <v>0</v>
      </c>
    </row>
    <row r="285" ht="14.25" customHeight="1">
      <c r="A285" s="42" t="s">
        <v>15</v>
      </c>
      <c r="B285" s="43" t="s">
        <v>55</v>
      </c>
      <c r="C285" s="43">
        <v>1</v>
      </c>
      <c r="D285" s="43">
        <v>5</v>
      </c>
      <c r="E285" s="44">
        <v>-70.760744750000001</v>
      </c>
      <c r="F285" s="44">
        <v>-33.493427499999903</v>
      </c>
      <c r="G285" s="45">
        <v>9836.7900000000009</v>
      </c>
      <c r="H285" s="43">
        <v>1</v>
      </c>
      <c r="I285" s="42">
        <v>0</v>
      </c>
      <c r="J285" s="42">
        <v>0</v>
      </c>
      <c r="K285" s="42">
        <v>0</v>
      </c>
      <c r="L285" s="42">
        <v>0</v>
      </c>
    </row>
    <row r="286" ht="14.25" customHeight="1">
      <c r="A286" s="42" t="s">
        <v>15</v>
      </c>
      <c r="B286" s="43" t="s">
        <v>55</v>
      </c>
      <c r="C286" s="43">
        <v>1</v>
      </c>
      <c r="D286" s="43">
        <v>6</v>
      </c>
      <c r="E286" s="44">
        <v>-70.799320949999995</v>
      </c>
      <c r="F286" s="44">
        <v>-33.510997103000001</v>
      </c>
      <c r="G286" s="45">
        <v>14556.01</v>
      </c>
      <c r="H286" s="43">
        <v>1</v>
      </c>
      <c r="I286" s="42">
        <v>0</v>
      </c>
      <c r="J286" s="42">
        <v>0</v>
      </c>
      <c r="K286" s="42">
        <v>0</v>
      </c>
      <c r="L286" s="42">
        <v>0</v>
      </c>
    </row>
    <row r="287" ht="14.25" customHeight="1">
      <c r="A287" s="42" t="s">
        <v>15</v>
      </c>
      <c r="B287" s="43" t="s">
        <v>55</v>
      </c>
      <c r="C287" s="43">
        <v>1</v>
      </c>
      <c r="D287" s="43">
        <v>7</v>
      </c>
      <c r="E287" s="44">
        <v>-70.806936449999995</v>
      </c>
      <c r="F287" s="44">
        <v>-33.546629996999997</v>
      </c>
      <c r="G287" s="45">
        <v>18644.23</v>
      </c>
      <c r="H287" s="43">
        <v>1</v>
      </c>
      <c r="I287" s="42">
        <v>0</v>
      </c>
      <c r="J287" s="42">
        <v>0</v>
      </c>
      <c r="K287" s="42">
        <v>0</v>
      </c>
      <c r="L287" s="42">
        <v>0</v>
      </c>
    </row>
    <row r="288" ht="14.25" customHeight="1">
      <c r="A288" s="42" t="s">
        <v>15</v>
      </c>
      <c r="B288" s="43" t="s">
        <v>55</v>
      </c>
      <c r="C288" s="43">
        <v>1</v>
      </c>
      <c r="D288" s="43">
        <v>8</v>
      </c>
      <c r="E288" s="44">
        <v>-70.843013449999901</v>
      </c>
      <c r="F288" s="44">
        <v>-33.564451650000002</v>
      </c>
      <c r="G288" s="45">
        <v>22619.25</v>
      </c>
      <c r="H288" s="43">
        <v>1</v>
      </c>
      <c r="I288" s="42">
        <v>0</v>
      </c>
      <c r="J288" s="42">
        <v>0</v>
      </c>
      <c r="K288" s="42">
        <v>0</v>
      </c>
      <c r="L288" s="42">
        <v>0</v>
      </c>
    </row>
    <row r="289" ht="14.25" customHeight="1">
      <c r="A289" s="42" t="s">
        <v>15</v>
      </c>
      <c r="B289" s="43" t="s">
        <v>55</v>
      </c>
      <c r="C289" s="43">
        <v>1</v>
      </c>
      <c r="D289" s="43">
        <v>9</v>
      </c>
      <c r="E289" s="44">
        <v>-70.844638200000006</v>
      </c>
      <c r="F289" s="44">
        <v>-33.591277099999999</v>
      </c>
      <c r="G289" s="45">
        <v>25882.310000000001</v>
      </c>
      <c r="H289" s="43">
        <v>1</v>
      </c>
      <c r="I289" s="42">
        <v>0</v>
      </c>
      <c r="J289" s="42">
        <v>0</v>
      </c>
      <c r="K289" s="42">
        <v>0</v>
      </c>
      <c r="L289" s="42">
        <v>0</v>
      </c>
    </row>
    <row r="290" ht="14.25" customHeight="1">
      <c r="A290" s="42" t="s">
        <v>15</v>
      </c>
      <c r="B290" s="43" t="s">
        <v>55</v>
      </c>
      <c r="C290" s="43">
        <v>1</v>
      </c>
      <c r="D290" s="43">
        <v>10</v>
      </c>
      <c r="E290" s="44">
        <v>-70.8560588</v>
      </c>
      <c r="F290" s="44">
        <v>-33.609791199999997</v>
      </c>
      <c r="G290" s="45">
        <v>28410.990000000002</v>
      </c>
      <c r="H290" s="43">
        <v>1</v>
      </c>
      <c r="I290" s="42">
        <v>0</v>
      </c>
      <c r="J290" s="42">
        <v>0</v>
      </c>
      <c r="K290" s="42">
        <v>0</v>
      </c>
      <c r="L290" s="42">
        <v>1</v>
      </c>
    </row>
    <row r="291" ht="14.25" customHeight="1">
      <c r="A291" s="42" t="s">
        <v>15</v>
      </c>
      <c r="B291" s="43" t="s">
        <v>55</v>
      </c>
      <c r="C291" s="43">
        <v>1</v>
      </c>
      <c r="D291" s="43">
        <v>11</v>
      </c>
      <c r="E291" s="44">
        <v>-70.863546649999904</v>
      </c>
      <c r="F291" s="44">
        <v>-33.617862201000001</v>
      </c>
      <c r="G291" s="45">
        <v>29599.73</v>
      </c>
      <c r="H291" s="43">
        <v>1</v>
      </c>
      <c r="I291" s="42">
        <v>0</v>
      </c>
      <c r="J291" s="42">
        <v>0</v>
      </c>
      <c r="K291" s="42">
        <v>0</v>
      </c>
      <c r="L291" s="42">
        <v>1</v>
      </c>
    </row>
    <row r="292" ht="14.25" customHeight="1">
      <c r="A292" s="42" t="s">
        <v>15</v>
      </c>
      <c r="B292" s="43" t="s">
        <v>55</v>
      </c>
      <c r="C292" s="43">
        <v>1</v>
      </c>
      <c r="D292" s="43">
        <v>12</v>
      </c>
      <c r="E292" s="44">
        <v>-70.882645085999997</v>
      </c>
      <c r="F292" s="44">
        <v>-33.643393781999997</v>
      </c>
      <c r="G292" s="45">
        <v>32940.480000000003</v>
      </c>
      <c r="H292" s="43">
        <v>1</v>
      </c>
      <c r="I292" s="42">
        <v>0</v>
      </c>
      <c r="J292" s="42">
        <v>0</v>
      </c>
      <c r="K292" s="42">
        <v>0</v>
      </c>
      <c r="L292" s="42">
        <v>1</v>
      </c>
    </row>
    <row r="293" ht="14.25" customHeight="1">
      <c r="A293" s="42" t="s">
        <v>15</v>
      </c>
      <c r="B293" s="43" t="s">
        <v>55</v>
      </c>
      <c r="C293" s="43">
        <v>1</v>
      </c>
      <c r="D293" s="43">
        <v>13</v>
      </c>
      <c r="E293" s="44">
        <v>-70.904550048999994</v>
      </c>
      <c r="F293" s="44">
        <v>-33.654890850000001</v>
      </c>
      <c r="G293" s="45">
        <v>35440.730000000003</v>
      </c>
      <c r="H293" s="43">
        <v>1</v>
      </c>
      <c r="I293" s="42">
        <v>0</v>
      </c>
      <c r="J293" s="42">
        <v>0</v>
      </c>
      <c r="K293" s="42">
        <v>0</v>
      </c>
      <c r="L293" s="42">
        <v>1</v>
      </c>
    </row>
    <row r="294" ht="14.25" customHeight="1">
      <c r="A294" s="42" t="s">
        <v>15</v>
      </c>
      <c r="B294" s="43" t="s">
        <v>55</v>
      </c>
      <c r="C294" s="43">
        <v>1</v>
      </c>
      <c r="D294" s="43">
        <v>14</v>
      </c>
      <c r="E294" s="44">
        <v>-70.926804027999907</v>
      </c>
      <c r="F294" s="44">
        <v>-33.661907618999997</v>
      </c>
      <c r="G294" s="45">
        <v>37973.440000000002</v>
      </c>
      <c r="H294" s="43">
        <v>1</v>
      </c>
      <c r="I294" s="42">
        <v>0</v>
      </c>
      <c r="J294" s="42">
        <v>0</v>
      </c>
      <c r="K294" s="42">
        <v>0</v>
      </c>
      <c r="L294" s="42">
        <v>1</v>
      </c>
    </row>
    <row r="295" ht="14.25" customHeight="1">
      <c r="A295" s="42" t="s">
        <v>15</v>
      </c>
      <c r="B295" s="43" t="s">
        <v>55</v>
      </c>
      <c r="C295" s="43">
        <v>1</v>
      </c>
      <c r="D295" s="43">
        <v>15</v>
      </c>
      <c r="E295" s="44">
        <v>-70.943268650999997</v>
      </c>
      <c r="F295" s="44">
        <v>-33.671301749999898</v>
      </c>
      <c r="G295" s="45">
        <v>39967.839999999997</v>
      </c>
      <c r="H295" s="43">
        <v>1</v>
      </c>
      <c r="I295" s="42">
        <v>1</v>
      </c>
      <c r="J295" s="42">
        <v>0</v>
      </c>
      <c r="K295" s="42">
        <v>0.10000000000000001</v>
      </c>
      <c r="L295" s="42">
        <v>1</v>
      </c>
    </row>
    <row r="296" ht="14.25" customHeight="1">
      <c r="A296" s="42" t="s">
        <v>15</v>
      </c>
      <c r="B296" s="43" t="s">
        <v>56</v>
      </c>
      <c r="C296" s="43">
        <v>0</v>
      </c>
      <c r="D296" s="43">
        <v>1</v>
      </c>
      <c r="E296" s="44">
        <v>-71.056903392999999</v>
      </c>
      <c r="F296" s="44">
        <v>-33.689733832999899</v>
      </c>
      <c r="G296" s="45">
        <v>1417.8499999999999</v>
      </c>
      <c r="H296" s="43">
        <v>1</v>
      </c>
      <c r="I296" s="42">
        <v>1</v>
      </c>
      <c r="J296" s="42">
        <v>1</v>
      </c>
      <c r="K296" s="42">
        <v>0.80000000000000004</v>
      </c>
      <c r="L296" s="42">
        <v>1</v>
      </c>
    </row>
    <row r="297" ht="14.25" customHeight="1">
      <c r="A297" s="42" t="s">
        <v>15</v>
      </c>
      <c r="B297" s="43" t="s">
        <v>56</v>
      </c>
      <c r="C297" s="43">
        <v>0</v>
      </c>
      <c r="D297" s="43">
        <v>2</v>
      </c>
      <c r="E297" s="44">
        <v>-71.039055399999896</v>
      </c>
      <c r="F297" s="44">
        <v>-33.688290600000002</v>
      </c>
      <c r="G297" s="45">
        <v>3086.5100000000002</v>
      </c>
      <c r="H297" s="43">
        <v>1</v>
      </c>
      <c r="I297" s="42">
        <v>1</v>
      </c>
      <c r="J297" s="42">
        <v>0</v>
      </c>
      <c r="K297" s="42">
        <v>0.10000000000000001</v>
      </c>
      <c r="L297" s="42">
        <v>1</v>
      </c>
    </row>
    <row r="298" ht="14.25" customHeight="1">
      <c r="A298" s="42" t="s">
        <v>15</v>
      </c>
      <c r="B298" s="43" t="s">
        <v>56</v>
      </c>
      <c r="C298" s="43">
        <v>0</v>
      </c>
      <c r="D298" s="43">
        <v>3</v>
      </c>
      <c r="E298" s="44">
        <v>-71.019786901000003</v>
      </c>
      <c r="F298" s="44">
        <v>-33.6864401999999</v>
      </c>
      <c r="G298" s="45">
        <v>4886.1300000000001</v>
      </c>
      <c r="H298" s="43">
        <v>1</v>
      </c>
      <c r="I298" s="42">
        <v>0</v>
      </c>
      <c r="J298" s="42">
        <v>0</v>
      </c>
      <c r="K298" s="42">
        <v>0</v>
      </c>
      <c r="L298" s="42">
        <v>1</v>
      </c>
    </row>
    <row r="299" ht="14.25" customHeight="1">
      <c r="A299" s="42" t="s">
        <v>15</v>
      </c>
      <c r="B299" s="43" t="s">
        <v>56</v>
      </c>
      <c r="C299" s="43">
        <v>0</v>
      </c>
      <c r="D299" s="43">
        <v>4</v>
      </c>
      <c r="E299" s="44">
        <v>-70.993159950000006</v>
      </c>
      <c r="F299" s="44">
        <v>-33.683137700000003</v>
      </c>
      <c r="G299" s="45">
        <v>7405.79</v>
      </c>
      <c r="H299" s="43">
        <v>1</v>
      </c>
      <c r="I299" s="42">
        <v>0</v>
      </c>
      <c r="J299" s="42">
        <v>0</v>
      </c>
      <c r="K299" s="42">
        <v>0</v>
      </c>
      <c r="L299" s="42">
        <v>1</v>
      </c>
    </row>
    <row r="300" ht="14.25" customHeight="1">
      <c r="A300" s="42" t="s">
        <v>15</v>
      </c>
      <c r="B300" s="43" t="s">
        <v>56</v>
      </c>
      <c r="C300" s="43">
        <v>0</v>
      </c>
      <c r="D300" s="43">
        <v>5</v>
      </c>
      <c r="E300" s="44">
        <v>-70.980375050000006</v>
      </c>
      <c r="F300" s="44">
        <v>-33.6802948509999</v>
      </c>
      <c r="G300" s="45">
        <v>8681.0699999999997</v>
      </c>
      <c r="H300" s="43">
        <v>1</v>
      </c>
      <c r="I300" s="42">
        <v>0</v>
      </c>
      <c r="J300" s="42">
        <v>0</v>
      </c>
      <c r="K300" s="42">
        <v>0</v>
      </c>
      <c r="L300" s="42">
        <v>1</v>
      </c>
    </row>
    <row r="301" ht="14.25" customHeight="1">
      <c r="A301" s="42" t="s">
        <v>15</v>
      </c>
      <c r="B301" s="43" t="s">
        <v>56</v>
      </c>
      <c r="C301" s="43">
        <v>0</v>
      </c>
      <c r="D301" s="43">
        <v>6</v>
      </c>
      <c r="E301" s="44">
        <v>-70.977848850000001</v>
      </c>
      <c r="F301" s="44">
        <v>-33.678424199999903</v>
      </c>
      <c r="G301" s="45">
        <v>9236.6599999999999</v>
      </c>
      <c r="H301" s="43">
        <v>1</v>
      </c>
      <c r="I301" s="42">
        <v>0</v>
      </c>
      <c r="J301" s="42">
        <v>0</v>
      </c>
      <c r="K301" s="42">
        <v>0</v>
      </c>
      <c r="L301" s="42">
        <v>1</v>
      </c>
    </row>
    <row r="302" ht="14.25" customHeight="1">
      <c r="A302" s="42" t="s">
        <v>15</v>
      </c>
      <c r="B302" s="43" t="s">
        <v>56</v>
      </c>
      <c r="C302" s="43">
        <v>0</v>
      </c>
      <c r="D302" s="43">
        <v>7</v>
      </c>
      <c r="E302" s="44">
        <v>-70.985565500000007</v>
      </c>
      <c r="F302" s="44">
        <v>-33.678052000000001</v>
      </c>
      <c r="G302" s="45">
        <v>10046.530000000001</v>
      </c>
      <c r="H302" s="43">
        <v>1</v>
      </c>
      <c r="I302" s="42">
        <v>0</v>
      </c>
      <c r="J302" s="42">
        <v>0</v>
      </c>
      <c r="K302" s="42">
        <v>0</v>
      </c>
      <c r="L302" s="42">
        <v>1</v>
      </c>
    </row>
    <row r="303" ht="14.25" customHeight="1">
      <c r="A303" s="42" t="s">
        <v>15</v>
      </c>
      <c r="B303" s="43" t="s">
        <v>56</v>
      </c>
      <c r="C303" s="43">
        <v>0</v>
      </c>
      <c r="D303" s="43">
        <v>8</v>
      </c>
      <c r="E303" s="44">
        <v>-70.971351799999994</v>
      </c>
      <c r="F303" s="44">
        <v>-33.687373299999898</v>
      </c>
      <c r="G303" s="45">
        <v>12473.6</v>
      </c>
      <c r="H303" s="43">
        <v>1</v>
      </c>
      <c r="I303" s="42">
        <v>0</v>
      </c>
      <c r="J303" s="42">
        <v>0</v>
      </c>
      <c r="K303" s="42">
        <v>0</v>
      </c>
      <c r="L303" s="42">
        <v>1</v>
      </c>
    </row>
    <row r="304" ht="14.25" customHeight="1">
      <c r="A304" s="42" t="s">
        <v>15</v>
      </c>
      <c r="B304" s="43" t="s">
        <v>56</v>
      </c>
      <c r="C304" s="43">
        <v>0</v>
      </c>
      <c r="D304" s="43">
        <v>9</v>
      </c>
      <c r="E304" s="44">
        <v>-70.846171099999907</v>
      </c>
      <c r="F304" s="44">
        <v>-33.583575999999901</v>
      </c>
      <c r="G304" s="45">
        <v>32430.43</v>
      </c>
      <c r="H304" s="43">
        <v>1</v>
      </c>
      <c r="I304" s="42">
        <v>0</v>
      </c>
      <c r="J304" s="42">
        <v>0</v>
      </c>
      <c r="K304" s="42">
        <v>0</v>
      </c>
      <c r="L304" s="42">
        <v>0</v>
      </c>
    </row>
    <row r="305" ht="14.25" customHeight="1">
      <c r="A305" s="42" t="s">
        <v>15</v>
      </c>
      <c r="B305" s="43" t="s">
        <v>56</v>
      </c>
      <c r="C305" s="43">
        <v>0</v>
      </c>
      <c r="D305" s="43">
        <v>10</v>
      </c>
      <c r="E305" s="44">
        <v>-70.798977599999901</v>
      </c>
      <c r="F305" s="44">
        <v>-33.524605999999999</v>
      </c>
      <c r="G305" s="45">
        <v>41372.940000000002</v>
      </c>
      <c r="H305" s="43">
        <v>1</v>
      </c>
      <c r="I305" s="42">
        <v>0</v>
      </c>
      <c r="J305" s="42">
        <v>0</v>
      </c>
      <c r="K305" s="42">
        <v>0</v>
      </c>
      <c r="L305" s="42">
        <v>0</v>
      </c>
    </row>
    <row r="306" ht="14.25" customHeight="1">
      <c r="A306" s="42" t="s">
        <v>15</v>
      </c>
      <c r="B306" s="43" t="s">
        <v>56</v>
      </c>
      <c r="C306" s="43">
        <v>0</v>
      </c>
      <c r="D306" s="43">
        <v>11</v>
      </c>
      <c r="E306" s="44">
        <v>-70.792974912999995</v>
      </c>
      <c r="F306" s="44">
        <v>-33.499089032999997</v>
      </c>
      <c r="G306" s="45">
        <v>44486.809999999998</v>
      </c>
      <c r="H306" s="43">
        <v>1</v>
      </c>
      <c r="I306" s="42">
        <v>0</v>
      </c>
      <c r="J306" s="42">
        <v>0</v>
      </c>
      <c r="K306" s="42">
        <v>0</v>
      </c>
      <c r="L306" s="42">
        <v>0</v>
      </c>
    </row>
    <row r="307" ht="14.25" customHeight="1">
      <c r="A307" s="42" t="s">
        <v>15</v>
      </c>
      <c r="B307" s="43" t="s">
        <v>56</v>
      </c>
      <c r="C307" s="43">
        <v>0</v>
      </c>
      <c r="D307" s="43">
        <v>12</v>
      </c>
      <c r="E307" s="44">
        <v>-70.736794797000002</v>
      </c>
      <c r="F307" s="44">
        <v>-33.484377346000002</v>
      </c>
      <c r="G307" s="45">
        <v>50180.099999999999</v>
      </c>
      <c r="H307" s="43">
        <v>1</v>
      </c>
      <c r="I307" s="42">
        <v>0</v>
      </c>
      <c r="J307" s="42">
        <v>0</v>
      </c>
      <c r="K307" s="42">
        <v>0</v>
      </c>
      <c r="L307" s="42">
        <v>0</v>
      </c>
    </row>
    <row r="308" ht="14.25" customHeight="1">
      <c r="A308" s="42" t="s">
        <v>15</v>
      </c>
      <c r="B308" s="43" t="s">
        <v>56</v>
      </c>
      <c r="C308" s="43">
        <v>0</v>
      </c>
      <c r="D308" s="43">
        <v>13</v>
      </c>
      <c r="E308" s="44">
        <v>-70.714882649999893</v>
      </c>
      <c r="F308" s="44">
        <v>-33.483238149999998</v>
      </c>
      <c r="G308" s="45">
        <v>52221.059999999998</v>
      </c>
      <c r="H308" s="43">
        <v>1</v>
      </c>
      <c r="I308" s="42">
        <v>0</v>
      </c>
      <c r="J308" s="42">
        <v>0</v>
      </c>
      <c r="K308" s="42">
        <v>0</v>
      </c>
      <c r="L308" s="42">
        <v>0</v>
      </c>
    </row>
    <row r="309" ht="14.25" customHeight="1">
      <c r="A309" s="42" t="s">
        <v>15</v>
      </c>
      <c r="B309" s="43" t="s">
        <v>56</v>
      </c>
      <c r="C309" s="43">
        <v>0</v>
      </c>
      <c r="D309" s="43">
        <v>14</v>
      </c>
      <c r="E309" s="44">
        <v>-70.694289299999994</v>
      </c>
      <c r="F309" s="44">
        <v>-33.478668900000002</v>
      </c>
      <c r="G309" s="45">
        <v>54204</v>
      </c>
      <c r="H309" s="43">
        <v>1</v>
      </c>
      <c r="I309" s="42">
        <v>0</v>
      </c>
      <c r="J309" s="42">
        <v>0</v>
      </c>
      <c r="K309" s="42">
        <v>0</v>
      </c>
      <c r="L309" s="42">
        <v>0</v>
      </c>
    </row>
    <row r="310" ht="14.25" customHeight="1">
      <c r="A310" s="42" t="s">
        <v>15</v>
      </c>
      <c r="B310" s="43" t="s">
        <v>56</v>
      </c>
      <c r="C310" s="43">
        <v>0</v>
      </c>
      <c r="D310" s="43">
        <v>15</v>
      </c>
      <c r="E310" s="44">
        <v>-70.687413799999902</v>
      </c>
      <c r="F310" s="44">
        <v>-33.474147799999997</v>
      </c>
      <c r="G310" s="45">
        <v>56293.279999999999</v>
      </c>
      <c r="H310" s="43">
        <v>1</v>
      </c>
      <c r="I310" s="42">
        <v>0</v>
      </c>
      <c r="J310" s="42">
        <v>0</v>
      </c>
      <c r="K310" s="42">
        <v>0</v>
      </c>
      <c r="L310" s="42">
        <v>1</v>
      </c>
    </row>
    <row r="311" ht="14.25" customHeight="1">
      <c r="A311" s="42" t="s">
        <v>15</v>
      </c>
      <c r="B311" s="43" t="s">
        <v>56</v>
      </c>
      <c r="C311" s="43">
        <v>0</v>
      </c>
      <c r="D311" s="43">
        <v>16</v>
      </c>
      <c r="E311" s="44">
        <v>-70.684320699999901</v>
      </c>
      <c r="F311" s="44">
        <v>-33.463568100000003</v>
      </c>
      <c r="G311" s="45">
        <v>57818.639999999999</v>
      </c>
      <c r="H311" s="43">
        <v>1</v>
      </c>
      <c r="I311" s="42">
        <v>0</v>
      </c>
      <c r="J311" s="42">
        <v>0</v>
      </c>
      <c r="K311" s="42">
        <v>0</v>
      </c>
      <c r="L311" s="42">
        <v>1</v>
      </c>
    </row>
    <row r="312" ht="14.25" customHeight="1">
      <c r="A312" s="42" t="s">
        <v>15</v>
      </c>
      <c r="B312" s="43" t="s">
        <v>56</v>
      </c>
      <c r="C312" s="43">
        <v>0</v>
      </c>
      <c r="D312" s="43">
        <v>17</v>
      </c>
      <c r="E312" s="44">
        <v>-70.683026366000007</v>
      </c>
      <c r="F312" s="44">
        <v>-33.455118621999901</v>
      </c>
      <c r="G312" s="45">
        <v>58811.160000000003</v>
      </c>
      <c r="H312" s="43">
        <v>1</v>
      </c>
      <c r="I312" s="42">
        <v>1</v>
      </c>
      <c r="J312" s="42">
        <v>0</v>
      </c>
      <c r="K312" s="42">
        <v>0.10000000000000001</v>
      </c>
      <c r="L312" s="42">
        <v>1</v>
      </c>
    </row>
    <row r="313" ht="14.25" customHeight="1">
      <c r="A313" s="42" t="s">
        <v>15</v>
      </c>
      <c r="B313" s="43" t="s">
        <v>56</v>
      </c>
      <c r="C313" s="43">
        <v>1</v>
      </c>
      <c r="D313" s="43">
        <v>1</v>
      </c>
      <c r="E313" s="44">
        <v>-70.680765655000002</v>
      </c>
      <c r="F313" s="44">
        <v>-33.458256585999997</v>
      </c>
      <c r="G313" s="45">
        <v>175.16</v>
      </c>
      <c r="H313" s="43">
        <v>1</v>
      </c>
      <c r="I313" s="42">
        <v>1</v>
      </c>
      <c r="J313" s="42">
        <v>1</v>
      </c>
      <c r="K313" s="42">
        <v>0.80000000000000004</v>
      </c>
      <c r="L313" s="42">
        <v>1</v>
      </c>
    </row>
    <row r="314" ht="14.25" customHeight="1">
      <c r="A314" s="42" t="s">
        <v>15</v>
      </c>
      <c r="B314" s="43" t="s">
        <v>56</v>
      </c>
      <c r="C314" s="43">
        <v>1</v>
      </c>
      <c r="D314" s="43">
        <v>2</v>
      </c>
      <c r="E314" s="44">
        <v>-70.686697550999995</v>
      </c>
      <c r="F314" s="44">
        <v>-33.474755550999902</v>
      </c>
      <c r="G314" s="45">
        <v>2373.8400000000001</v>
      </c>
      <c r="H314" s="43">
        <v>1</v>
      </c>
      <c r="I314" s="42">
        <v>1</v>
      </c>
      <c r="J314" s="42">
        <v>0</v>
      </c>
      <c r="K314" s="42">
        <v>0.10000000000000001</v>
      </c>
      <c r="L314" s="42">
        <v>1</v>
      </c>
    </row>
    <row r="315" ht="14.25" customHeight="1">
      <c r="A315" s="42" t="s">
        <v>15</v>
      </c>
      <c r="B315" s="43" t="s">
        <v>56</v>
      </c>
      <c r="C315" s="43">
        <v>1</v>
      </c>
      <c r="D315" s="43">
        <v>3</v>
      </c>
      <c r="E315" s="44">
        <v>-70.706524548999894</v>
      </c>
      <c r="F315" s="44">
        <v>-33.481364999999997</v>
      </c>
      <c r="G315" s="45">
        <v>4394.6800000000003</v>
      </c>
      <c r="H315" s="43">
        <v>1</v>
      </c>
      <c r="I315" s="42">
        <v>0</v>
      </c>
      <c r="J315" s="42">
        <v>0</v>
      </c>
      <c r="K315" s="42">
        <v>0</v>
      </c>
      <c r="L315" s="42">
        <v>0</v>
      </c>
    </row>
    <row r="316" ht="14.25" customHeight="1">
      <c r="A316" s="42" t="s">
        <v>15</v>
      </c>
      <c r="B316" s="43" t="s">
        <v>56</v>
      </c>
      <c r="C316" s="43">
        <v>1</v>
      </c>
      <c r="D316" s="43">
        <v>4</v>
      </c>
      <c r="E316" s="44">
        <v>-70.721244272999996</v>
      </c>
      <c r="F316" s="44">
        <v>-33.483577964999903</v>
      </c>
      <c r="G316" s="45">
        <v>5789.7399999999998</v>
      </c>
      <c r="H316" s="43">
        <v>1</v>
      </c>
      <c r="I316" s="42">
        <v>0</v>
      </c>
      <c r="J316" s="42">
        <v>0</v>
      </c>
      <c r="K316" s="42">
        <v>0</v>
      </c>
      <c r="L316" s="42">
        <v>0</v>
      </c>
    </row>
    <row r="317" ht="14.25" customHeight="1">
      <c r="A317" s="42" t="s">
        <v>15</v>
      </c>
      <c r="B317" s="43" t="s">
        <v>56</v>
      </c>
      <c r="C317" s="43">
        <v>1</v>
      </c>
      <c r="D317" s="43">
        <v>5</v>
      </c>
      <c r="E317" s="44">
        <v>-70.769435799999897</v>
      </c>
      <c r="F317" s="44">
        <v>-33.493838500000003</v>
      </c>
      <c r="G317" s="45">
        <v>10670.99</v>
      </c>
      <c r="H317" s="43">
        <v>1</v>
      </c>
      <c r="I317" s="42">
        <v>0</v>
      </c>
      <c r="J317" s="42">
        <v>0</v>
      </c>
      <c r="K317" s="42">
        <v>0</v>
      </c>
      <c r="L317" s="42">
        <v>0</v>
      </c>
    </row>
    <row r="318" ht="14.25" customHeight="1">
      <c r="A318" s="42" t="s">
        <v>15</v>
      </c>
      <c r="B318" s="43" t="s">
        <v>56</v>
      </c>
      <c r="C318" s="43">
        <v>1</v>
      </c>
      <c r="D318" s="43">
        <v>6</v>
      </c>
      <c r="E318" s="44">
        <v>-70.799117099999904</v>
      </c>
      <c r="F318" s="44">
        <v>-33.5246955</v>
      </c>
      <c r="G318" s="45">
        <v>16075.290000000001</v>
      </c>
      <c r="H318" s="43">
        <v>1</v>
      </c>
      <c r="I318" s="42">
        <v>0</v>
      </c>
      <c r="J318" s="42">
        <v>0</v>
      </c>
      <c r="K318" s="42">
        <v>0</v>
      </c>
      <c r="L318" s="42">
        <v>0</v>
      </c>
    </row>
    <row r="319" ht="14.25" customHeight="1">
      <c r="A319" s="42" t="s">
        <v>15</v>
      </c>
      <c r="B319" s="43" t="s">
        <v>56</v>
      </c>
      <c r="C319" s="43">
        <v>1</v>
      </c>
      <c r="D319" s="43">
        <v>7</v>
      </c>
      <c r="E319" s="44">
        <v>-70.843190499999906</v>
      </c>
      <c r="F319" s="44">
        <v>-33.5645539</v>
      </c>
      <c r="G319" s="45">
        <v>22638.889999999999</v>
      </c>
      <c r="H319" s="43">
        <v>1</v>
      </c>
      <c r="I319" s="42">
        <v>0</v>
      </c>
      <c r="J319" s="42">
        <v>0</v>
      </c>
      <c r="K319" s="42">
        <v>0</v>
      </c>
      <c r="L319" s="42">
        <v>0</v>
      </c>
    </row>
    <row r="320" ht="14.25" customHeight="1">
      <c r="A320" s="42" t="s">
        <v>15</v>
      </c>
      <c r="B320" s="43" t="s">
        <v>56</v>
      </c>
      <c r="C320" s="43">
        <v>1</v>
      </c>
      <c r="D320" s="43">
        <v>8</v>
      </c>
      <c r="E320" s="44">
        <v>-70.845075465999997</v>
      </c>
      <c r="F320" s="44">
        <v>-33.587654208999901</v>
      </c>
      <c r="G320" s="45">
        <v>25478.060000000001</v>
      </c>
      <c r="H320" s="43">
        <v>1</v>
      </c>
      <c r="I320" s="42">
        <v>0</v>
      </c>
      <c r="J320" s="42">
        <v>0</v>
      </c>
      <c r="K320" s="42">
        <v>0</v>
      </c>
      <c r="L320" s="42">
        <v>0</v>
      </c>
    </row>
    <row r="321" ht="14.25" customHeight="1">
      <c r="A321" s="42" t="s">
        <v>15</v>
      </c>
      <c r="B321" s="43" t="s">
        <v>56</v>
      </c>
      <c r="C321" s="43">
        <v>1</v>
      </c>
      <c r="D321" s="43">
        <v>9</v>
      </c>
      <c r="E321" s="44">
        <v>-70.874518199999997</v>
      </c>
      <c r="F321" s="44">
        <v>-33.6413949129999</v>
      </c>
      <c r="G321" s="45">
        <v>32172.029999999999</v>
      </c>
      <c r="H321" s="43">
        <v>1</v>
      </c>
      <c r="I321" s="42">
        <v>0</v>
      </c>
      <c r="J321" s="42">
        <v>0</v>
      </c>
      <c r="K321" s="42">
        <v>0</v>
      </c>
      <c r="L321" s="42">
        <v>1</v>
      </c>
    </row>
    <row r="322" ht="14.25" customHeight="1">
      <c r="A322" s="42" t="s">
        <v>15</v>
      </c>
      <c r="B322" s="43" t="s">
        <v>56</v>
      </c>
      <c r="C322" s="43">
        <v>1</v>
      </c>
      <c r="D322" s="43">
        <v>10</v>
      </c>
      <c r="E322" s="44">
        <v>-70.908536949999998</v>
      </c>
      <c r="F322" s="44">
        <v>-33.665383059999897</v>
      </c>
      <c r="G322" s="45">
        <v>36369.900000000001</v>
      </c>
      <c r="H322" s="43">
        <v>1</v>
      </c>
      <c r="I322" s="42">
        <v>0</v>
      </c>
      <c r="J322" s="42">
        <v>0</v>
      </c>
      <c r="K322" s="42">
        <v>0</v>
      </c>
      <c r="L322" s="42">
        <v>1</v>
      </c>
    </row>
    <row r="323" ht="14.25" customHeight="1">
      <c r="A323" s="42" t="s">
        <v>15</v>
      </c>
      <c r="B323" s="43" t="s">
        <v>56</v>
      </c>
      <c r="C323" s="43">
        <v>1</v>
      </c>
      <c r="D323" s="43">
        <v>11</v>
      </c>
      <c r="E323" s="44">
        <v>-70.969232199999993</v>
      </c>
      <c r="F323" s="44">
        <v>-33.6880697</v>
      </c>
      <c r="G323" s="45">
        <v>44222.809999999998</v>
      </c>
      <c r="H323" s="43">
        <v>1</v>
      </c>
      <c r="I323" s="42">
        <v>0</v>
      </c>
      <c r="J323" s="42">
        <v>0</v>
      </c>
      <c r="K323" s="42">
        <v>0</v>
      </c>
      <c r="L323" s="42">
        <v>1</v>
      </c>
    </row>
    <row r="324" ht="14.25" customHeight="1">
      <c r="A324" s="42" t="s">
        <v>15</v>
      </c>
      <c r="B324" s="43" t="s">
        <v>56</v>
      </c>
      <c r="C324" s="43">
        <v>1</v>
      </c>
      <c r="D324" s="43">
        <v>12</v>
      </c>
      <c r="E324" s="44">
        <v>-70.976183164000005</v>
      </c>
      <c r="F324" s="44">
        <v>-33.681779572000003</v>
      </c>
      <c r="G324" s="45">
        <v>45552.769999999997</v>
      </c>
      <c r="H324" s="43">
        <v>1</v>
      </c>
      <c r="I324" s="42">
        <v>0</v>
      </c>
      <c r="J324" s="42">
        <v>0</v>
      </c>
      <c r="K324" s="42">
        <v>0</v>
      </c>
      <c r="L324" s="42">
        <v>1</v>
      </c>
    </row>
    <row r="325" ht="14.25" customHeight="1">
      <c r="A325" s="42" t="s">
        <v>15</v>
      </c>
      <c r="B325" s="43" t="s">
        <v>56</v>
      </c>
      <c r="C325" s="43">
        <v>1</v>
      </c>
      <c r="D325" s="43">
        <v>13</v>
      </c>
      <c r="E325" s="44">
        <v>-70.980216286000001</v>
      </c>
      <c r="F325" s="44">
        <v>-33.680159513</v>
      </c>
      <c r="G325" s="45">
        <v>46233.910000000003</v>
      </c>
      <c r="H325" s="43">
        <v>1</v>
      </c>
      <c r="I325" s="42">
        <v>0</v>
      </c>
      <c r="J325" s="42">
        <v>0</v>
      </c>
      <c r="K325" s="42">
        <v>0</v>
      </c>
      <c r="L325" s="42">
        <v>1</v>
      </c>
    </row>
    <row r="326" ht="14.25" customHeight="1">
      <c r="A326" s="42" t="s">
        <v>15</v>
      </c>
      <c r="B326" s="43" t="s">
        <v>56</v>
      </c>
      <c r="C326" s="43">
        <v>1</v>
      </c>
      <c r="D326" s="43">
        <v>14</v>
      </c>
      <c r="E326" s="44">
        <v>-70.992576999999997</v>
      </c>
      <c r="F326" s="44">
        <v>-33.683044750000001</v>
      </c>
      <c r="G326" s="45">
        <v>47475.139999999999</v>
      </c>
      <c r="H326" s="43">
        <v>1</v>
      </c>
      <c r="I326" s="42">
        <v>0</v>
      </c>
      <c r="J326" s="42">
        <v>0</v>
      </c>
      <c r="K326" s="42">
        <v>0</v>
      </c>
      <c r="L326" s="42">
        <v>1</v>
      </c>
    </row>
    <row r="327" ht="14.25" customHeight="1">
      <c r="A327" s="42" t="s">
        <v>15</v>
      </c>
      <c r="B327" s="43" t="s">
        <v>56</v>
      </c>
      <c r="C327" s="43">
        <v>1</v>
      </c>
      <c r="D327" s="43">
        <v>15</v>
      </c>
      <c r="E327" s="44">
        <v>-71.026274599999994</v>
      </c>
      <c r="F327" s="44">
        <v>-33.687073499999897</v>
      </c>
      <c r="G327" s="45">
        <v>50655.849999999999</v>
      </c>
      <c r="H327" s="43">
        <v>1</v>
      </c>
      <c r="I327" s="42">
        <v>0</v>
      </c>
      <c r="J327" s="42">
        <v>0</v>
      </c>
      <c r="K327" s="42">
        <v>0</v>
      </c>
      <c r="L327" s="42">
        <v>1</v>
      </c>
    </row>
    <row r="328" ht="14.25" customHeight="1">
      <c r="A328" s="42" t="s">
        <v>15</v>
      </c>
      <c r="B328" s="43" t="s">
        <v>56</v>
      </c>
      <c r="C328" s="43">
        <v>1</v>
      </c>
      <c r="D328" s="43">
        <v>16</v>
      </c>
      <c r="E328" s="44">
        <v>-71.038227380999999</v>
      </c>
      <c r="F328" s="44">
        <v>-33.688178637999897</v>
      </c>
      <c r="G328" s="45">
        <v>51771.730000000003</v>
      </c>
      <c r="H328" s="43">
        <v>1</v>
      </c>
      <c r="I328" s="42">
        <v>1</v>
      </c>
      <c r="J328" s="42">
        <v>0</v>
      </c>
      <c r="K328" s="42">
        <v>0.10000000000000001</v>
      </c>
      <c r="L328" s="42">
        <v>1</v>
      </c>
    </row>
    <row r="329" ht="14.25" customHeight="1">
      <c r="A329" s="42" t="s">
        <v>15</v>
      </c>
      <c r="B329" s="43" t="s">
        <v>57</v>
      </c>
      <c r="C329" s="43">
        <v>0</v>
      </c>
      <c r="D329" s="43">
        <v>1</v>
      </c>
      <c r="E329" s="44">
        <v>-70.862882699999901</v>
      </c>
      <c r="F329" s="44">
        <v>-33.735160699999902</v>
      </c>
      <c r="G329" s="45">
        <v>1044.3699999999999</v>
      </c>
      <c r="H329" s="43">
        <v>1</v>
      </c>
      <c r="I329" s="42">
        <v>1</v>
      </c>
      <c r="J329" s="42">
        <v>0</v>
      </c>
      <c r="K329" s="42">
        <v>0.80000000000000004</v>
      </c>
      <c r="L329" s="42">
        <v>1</v>
      </c>
    </row>
    <row r="330" ht="14.25" customHeight="1">
      <c r="A330" s="42" t="s">
        <v>15</v>
      </c>
      <c r="B330" s="43" t="s">
        <v>57</v>
      </c>
      <c r="C330" s="43">
        <v>0</v>
      </c>
      <c r="D330" s="43">
        <v>2</v>
      </c>
      <c r="E330" s="44">
        <v>-70.860267033</v>
      </c>
      <c r="F330" s="44">
        <v>-33.738086371000001</v>
      </c>
      <c r="G330" s="45">
        <v>1540.75</v>
      </c>
      <c r="H330" s="43">
        <v>1</v>
      </c>
      <c r="I330" s="42">
        <v>1</v>
      </c>
      <c r="J330" s="42">
        <v>0</v>
      </c>
      <c r="K330" s="42">
        <v>0.10000000000000001</v>
      </c>
      <c r="L330" s="42">
        <v>1</v>
      </c>
    </row>
    <row r="331" ht="14.25" customHeight="1">
      <c r="A331" s="42" t="s">
        <v>15</v>
      </c>
      <c r="B331" s="43" t="s">
        <v>57</v>
      </c>
      <c r="C331" s="43">
        <v>0</v>
      </c>
      <c r="D331" s="43">
        <v>3</v>
      </c>
      <c r="E331" s="44">
        <v>-70.866246600999901</v>
      </c>
      <c r="F331" s="44">
        <v>-33.747813301000001</v>
      </c>
      <c r="G331" s="45">
        <v>2760.77</v>
      </c>
      <c r="H331" s="43">
        <v>1</v>
      </c>
      <c r="I331" s="42">
        <v>0</v>
      </c>
      <c r="J331" s="42">
        <v>0</v>
      </c>
      <c r="K331" s="42">
        <v>0</v>
      </c>
      <c r="L331" s="42">
        <v>1</v>
      </c>
    </row>
    <row r="332" ht="14.25" customHeight="1">
      <c r="A332" s="42" t="s">
        <v>15</v>
      </c>
      <c r="B332" s="43" t="s">
        <v>57</v>
      </c>
      <c r="C332" s="43">
        <v>0</v>
      </c>
      <c r="D332" s="43">
        <v>4</v>
      </c>
      <c r="E332" s="44">
        <v>-70.880245353999996</v>
      </c>
      <c r="F332" s="44">
        <v>-33.753054071999898</v>
      </c>
      <c r="G332" s="45">
        <v>4707.9399999999996</v>
      </c>
      <c r="H332" s="43">
        <v>1</v>
      </c>
      <c r="I332" s="42">
        <v>0</v>
      </c>
      <c r="J332" s="42">
        <v>0</v>
      </c>
      <c r="K332" s="42">
        <v>0</v>
      </c>
      <c r="L332" s="42">
        <v>1</v>
      </c>
    </row>
    <row r="333" ht="14.25" customHeight="1">
      <c r="A333" s="42" t="s">
        <v>15</v>
      </c>
      <c r="B333" s="43" t="s">
        <v>57</v>
      </c>
      <c r="C333" s="43">
        <v>0</v>
      </c>
      <c r="D333" s="43">
        <v>5</v>
      </c>
      <c r="E333" s="44">
        <v>-70.894754199999994</v>
      </c>
      <c r="F333" s="44">
        <v>-33.754698199000003</v>
      </c>
      <c r="G333" s="45">
        <v>6348.3000000000002</v>
      </c>
      <c r="H333" s="43">
        <v>1</v>
      </c>
      <c r="I333" s="42">
        <v>0</v>
      </c>
      <c r="J333" s="42">
        <v>0</v>
      </c>
      <c r="K333" s="42">
        <v>0</v>
      </c>
      <c r="L333" s="42">
        <v>1</v>
      </c>
    </row>
    <row r="334" ht="14.25" customHeight="1">
      <c r="A334" s="42" t="s">
        <v>15</v>
      </c>
      <c r="B334" s="43" t="s">
        <v>57</v>
      </c>
      <c r="C334" s="43">
        <v>0</v>
      </c>
      <c r="D334" s="43">
        <v>6</v>
      </c>
      <c r="E334" s="44">
        <v>-70.900627999999998</v>
      </c>
      <c r="F334" s="44">
        <v>-33.754545499999999</v>
      </c>
      <c r="G334" s="45">
        <v>7056.2799999999997</v>
      </c>
      <c r="H334" s="43">
        <v>1</v>
      </c>
      <c r="I334" s="42">
        <v>0</v>
      </c>
      <c r="J334" s="42">
        <v>0</v>
      </c>
      <c r="K334" s="42">
        <v>0</v>
      </c>
      <c r="L334" s="42">
        <v>1</v>
      </c>
    </row>
    <row r="335" ht="14.25" customHeight="1">
      <c r="A335" s="42" t="s">
        <v>15</v>
      </c>
      <c r="B335" s="43" t="s">
        <v>57</v>
      </c>
      <c r="C335" s="43">
        <v>0</v>
      </c>
      <c r="D335" s="43">
        <v>7</v>
      </c>
      <c r="E335" s="44">
        <v>-70.898026200000004</v>
      </c>
      <c r="F335" s="44">
        <v>-33.749566102000003</v>
      </c>
      <c r="G335" s="45">
        <v>8094.9399999999996</v>
      </c>
      <c r="H335" s="43">
        <v>1</v>
      </c>
      <c r="I335" s="42">
        <v>0</v>
      </c>
      <c r="J335" s="42">
        <v>0</v>
      </c>
      <c r="K335" s="42">
        <v>0</v>
      </c>
      <c r="L335" s="42">
        <v>1</v>
      </c>
    </row>
    <row r="336" ht="14.25" customHeight="1">
      <c r="A336" s="42" t="s">
        <v>15</v>
      </c>
      <c r="B336" s="43" t="s">
        <v>57</v>
      </c>
      <c r="C336" s="43">
        <v>0</v>
      </c>
      <c r="D336" s="43">
        <v>8</v>
      </c>
      <c r="E336" s="44">
        <v>-70.899990876999894</v>
      </c>
      <c r="F336" s="44">
        <v>-33.743372254000001</v>
      </c>
      <c r="G336" s="45">
        <v>9229.3600000000006</v>
      </c>
      <c r="H336" s="43">
        <v>1</v>
      </c>
      <c r="I336" s="42">
        <v>0</v>
      </c>
      <c r="J336" s="42">
        <v>0</v>
      </c>
      <c r="K336" s="42">
        <v>0</v>
      </c>
      <c r="L336" s="42">
        <v>1</v>
      </c>
    </row>
    <row r="337" ht="14.25" customHeight="1">
      <c r="A337" s="42" t="s">
        <v>15</v>
      </c>
      <c r="B337" s="43" t="s">
        <v>57</v>
      </c>
      <c r="C337" s="43">
        <v>0</v>
      </c>
      <c r="D337" s="43">
        <v>9</v>
      </c>
      <c r="E337" s="44">
        <v>-70.921129043999898</v>
      </c>
      <c r="F337" s="44">
        <v>-33.672531032999999</v>
      </c>
      <c r="G337" s="45">
        <v>19370.580000000002</v>
      </c>
      <c r="H337" s="43">
        <v>1</v>
      </c>
      <c r="I337" s="42">
        <v>0</v>
      </c>
      <c r="J337" s="42">
        <v>0</v>
      </c>
      <c r="K337" s="42">
        <v>0</v>
      </c>
      <c r="L337" s="42">
        <v>0</v>
      </c>
    </row>
    <row r="338" ht="14.25" customHeight="1">
      <c r="A338" s="42" t="s">
        <v>15</v>
      </c>
      <c r="B338" s="43" t="s">
        <v>57</v>
      </c>
      <c r="C338" s="43">
        <v>0</v>
      </c>
      <c r="D338" s="43">
        <v>10</v>
      </c>
      <c r="E338" s="44">
        <v>-70.844857978999997</v>
      </c>
      <c r="F338" s="44">
        <v>-33.588124970000003</v>
      </c>
      <c r="G338" s="45">
        <v>31634.990000000002</v>
      </c>
      <c r="H338" s="43">
        <v>1</v>
      </c>
      <c r="I338" s="42">
        <v>0</v>
      </c>
      <c r="J338" s="42">
        <v>0</v>
      </c>
      <c r="K338" s="42">
        <v>0</v>
      </c>
      <c r="L338" s="42">
        <v>0</v>
      </c>
    </row>
    <row r="339" ht="14.25" customHeight="1">
      <c r="A339" s="42" t="s">
        <v>15</v>
      </c>
      <c r="B339" s="43" t="s">
        <v>57</v>
      </c>
      <c r="C339" s="43">
        <v>0</v>
      </c>
      <c r="D339" s="43">
        <v>11</v>
      </c>
      <c r="E339" s="44">
        <v>-70.820472577000004</v>
      </c>
      <c r="F339" s="44">
        <v>-33.55592309</v>
      </c>
      <c r="G339" s="45">
        <v>36846.93</v>
      </c>
      <c r="H339" s="43">
        <v>1</v>
      </c>
      <c r="I339" s="42">
        <v>0</v>
      </c>
      <c r="J339" s="42">
        <v>0</v>
      </c>
      <c r="K339" s="42">
        <v>0</v>
      </c>
      <c r="L339" s="42">
        <v>0</v>
      </c>
    </row>
    <row r="340" ht="14.25" customHeight="1">
      <c r="A340" s="42" t="s">
        <v>15</v>
      </c>
      <c r="B340" s="43" t="s">
        <v>57</v>
      </c>
      <c r="C340" s="43">
        <v>0</v>
      </c>
      <c r="D340" s="43">
        <v>12</v>
      </c>
      <c r="E340" s="44">
        <v>-70.799176399999993</v>
      </c>
      <c r="F340" s="44">
        <v>-33.5117233</v>
      </c>
      <c r="G340" s="45">
        <v>42528.809999999998</v>
      </c>
      <c r="H340" s="43">
        <v>1</v>
      </c>
      <c r="I340" s="42">
        <v>0</v>
      </c>
      <c r="J340" s="42">
        <v>0</v>
      </c>
      <c r="K340" s="42">
        <v>0</v>
      </c>
      <c r="L340" s="42">
        <v>0</v>
      </c>
    </row>
    <row r="341" ht="14.25" customHeight="1">
      <c r="A341" s="42" t="s">
        <v>15</v>
      </c>
      <c r="B341" s="43" t="s">
        <v>57</v>
      </c>
      <c r="C341" s="43">
        <v>0</v>
      </c>
      <c r="D341" s="43">
        <v>13</v>
      </c>
      <c r="E341" s="44">
        <v>-70.734095526999994</v>
      </c>
      <c r="F341" s="44">
        <v>-33.484257527999901</v>
      </c>
      <c r="G341" s="45">
        <v>50158.239999999998</v>
      </c>
      <c r="H341" s="43">
        <v>1</v>
      </c>
      <c r="I341" s="42">
        <v>0</v>
      </c>
      <c r="J341" s="42">
        <v>0</v>
      </c>
      <c r="K341" s="42">
        <v>0</v>
      </c>
      <c r="L341" s="42">
        <v>0</v>
      </c>
    </row>
    <row r="342" ht="14.25" customHeight="1">
      <c r="A342" s="42" t="s">
        <v>15</v>
      </c>
      <c r="B342" s="43" t="s">
        <v>57</v>
      </c>
      <c r="C342" s="43">
        <v>0</v>
      </c>
      <c r="D342" s="43">
        <v>14</v>
      </c>
      <c r="E342" s="44">
        <v>-70.702453649999896</v>
      </c>
      <c r="F342" s="44">
        <v>-33.480576499999998</v>
      </c>
      <c r="G342" s="45">
        <v>53140.639999999999</v>
      </c>
      <c r="H342" s="43">
        <v>1</v>
      </c>
      <c r="I342" s="42">
        <v>0</v>
      </c>
      <c r="J342" s="42">
        <v>0</v>
      </c>
      <c r="K342" s="42">
        <v>0</v>
      </c>
      <c r="L342" s="42">
        <v>0</v>
      </c>
    </row>
    <row r="343" ht="14.25" customHeight="1">
      <c r="A343" s="42" t="s">
        <v>15</v>
      </c>
      <c r="B343" s="43" t="s">
        <v>57</v>
      </c>
      <c r="C343" s="43">
        <v>0</v>
      </c>
      <c r="D343" s="43">
        <v>15</v>
      </c>
      <c r="E343" s="44">
        <v>-70.6925927999999</v>
      </c>
      <c r="F343" s="44">
        <v>-33.478322050000003</v>
      </c>
      <c r="G343" s="45">
        <v>54093.279999999999</v>
      </c>
      <c r="H343" s="43">
        <v>1</v>
      </c>
      <c r="I343" s="42">
        <v>0</v>
      </c>
      <c r="J343" s="42">
        <v>0</v>
      </c>
      <c r="K343" s="42">
        <v>0</v>
      </c>
      <c r="L343" s="42">
        <v>0</v>
      </c>
    </row>
    <row r="344" ht="14.25" customHeight="1">
      <c r="A344" s="42" t="s">
        <v>15</v>
      </c>
      <c r="B344" s="43" t="s">
        <v>57</v>
      </c>
      <c r="C344" s="43">
        <v>0</v>
      </c>
      <c r="D344" s="43">
        <v>16</v>
      </c>
      <c r="E344" s="44">
        <v>-70.687921799999998</v>
      </c>
      <c r="F344" s="44">
        <v>-33.472955549999902</v>
      </c>
      <c r="G344" s="45">
        <v>56161.209999999999</v>
      </c>
      <c r="H344" s="43">
        <v>1</v>
      </c>
      <c r="I344" s="42">
        <v>0</v>
      </c>
      <c r="J344" s="42">
        <v>0</v>
      </c>
      <c r="K344" s="42">
        <v>0</v>
      </c>
      <c r="L344" s="42">
        <v>1</v>
      </c>
    </row>
    <row r="345" ht="14.25" customHeight="1">
      <c r="A345" s="42" t="s">
        <v>15</v>
      </c>
      <c r="B345" s="43" t="s">
        <v>57</v>
      </c>
      <c r="C345" s="43">
        <v>0</v>
      </c>
      <c r="D345" s="43">
        <v>17</v>
      </c>
      <c r="E345" s="44">
        <v>-70.684413909999904</v>
      </c>
      <c r="F345" s="44">
        <v>-33.4653647989999</v>
      </c>
      <c r="G345" s="45">
        <v>57346.199999999997</v>
      </c>
      <c r="H345" s="43">
        <v>1</v>
      </c>
      <c r="I345" s="42">
        <v>0</v>
      </c>
      <c r="J345" s="42">
        <v>0</v>
      </c>
      <c r="K345" s="42">
        <v>0</v>
      </c>
      <c r="L345" s="42">
        <v>1</v>
      </c>
    </row>
    <row r="346" ht="14.25" customHeight="1">
      <c r="A346" s="42" t="s">
        <v>15</v>
      </c>
      <c r="B346" s="43" t="s">
        <v>57</v>
      </c>
      <c r="C346" s="43">
        <v>0</v>
      </c>
      <c r="D346" s="43">
        <v>18</v>
      </c>
      <c r="E346" s="44">
        <v>-70.683313549999994</v>
      </c>
      <c r="F346" s="44">
        <v>-33.45522819</v>
      </c>
      <c r="G346" s="45">
        <v>58508.849999999999</v>
      </c>
      <c r="H346" s="43">
        <v>1</v>
      </c>
      <c r="I346" s="42">
        <v>1</v>
      </c>
      <c r="J346" s="42">
        <v>0</v>
      </c>
      <c r="K346" s="42">
        <v>0.10000000000000001</v>
      </c>
      <c r="L346" s="42">
        <v>1</v>
      </c>
    </row>
    <row r="347" ht="14.25" customHeight="1">
      <c r="A347" s="42" t="s">
        <v>15</v>
      </c>
      <c r="B347" s="43" t="s">
        <v>58</v>
      </c>
      <c r="C347" s="43">
        <v>1</v>
      </c>
      <c r="D347" s="43">
        <v>1</v>
      </c>
      <c r="E347" s="44">
        <v>-70.680765655000002</v>
      </c>
      <c r="F347" s="44">
        <v>-33.458256585999997</v>
      </c>
      <c r="G347" s="45">
        <v>175.16</v>
      </c>
      <c r="H347" s="43">
        <v>1</v>
      </c>
      <c r="I347" s="42">
        <v>1</v>
      </c>
      <c r="J347" s="42">
        <v>1</v>
      </c>
      <c r="K347" s="42">
        <v>0.80000000000000004</v>
      </c>
      <c r="L347" s="42">
        <v>1</v>
      </c>
    </row>
    <row r="348" ht="14.25" customHeight="1">
      <c r="A348" s="42" t="s">
        <v>15</v>
      </c>
      <c r="B348" s="43" t="s">
        <v>58</v>
      </c>
      <c r="C348" s="43">
        <v>1</v>
      </c>
      <c r="D348" s="43">
        <v>2</v>
      </c>
      <c r="E348" s="44">
        <v>-70.685765750000002</v>
      </c>
      <c r="F348" s="44">
        <v>-33.473964050999903</v>
      </c>
      <c r="G348" s="45">
        <v>2249.27</v>
      </c>
      <c r="H348" s="43">
        <v>1</v>
      </c>
      <c r="I348" s="42">
        <v>1</v>
      </c>
      <c r="J348" s="42">
        <v>0</v>
      </c>
      <c r="K348" s="42">
        <v>0.10000000000000001</v>
      </c>
      <c r="L348" s="42">
        <v>1</v>
      </c>
    </row>
    <row r="349" ht="14.25" customHeight="1">
      <c r="A349" s="42" t="s">
        <v>15</v>
      </c>
      <c r="B349" s="43" t="s">
        <v>58</v>
      </c>
      <c r="C349" s="43">
        <v>1</v>
      </c>
      <c r="D349" s="43">
        <v>3</v>
      </c>
      <c r="E349" s="44">
        <v>-70.692994048999907</v>
      </c>
      <c r="F349" s="44">
        <v>-33.4804398429999</v>
      </c>
      <c r="G349" s="45">
        <v>3238.3499999999999</v>
      </c>
      <c r="H349" s="43">
        <v>1</v>
      </c>
      <c r="I349" s="42">
        <v>0</v>
      </c>
      <c r="J349" s="42">
        <v>0</v>
      </c>
      <c r="K349" s="42">
        <v>0</v>
      </c>
      <c r="L349" s="42">
        <v>1</v>
      </c>
    </row>
    <row r="350" ht="14.25" customHeight="1">
      <c r="A350" s="42" t="s">
        <v>15</v>
      </c>
      <c r="B350" s="43" t="s">
        <v>58</v>
      </c>
      <c r="C350" s="43">
        <v>1</v>
      </c>
      <c r="D350" s="43">
        <v>4</v>
      </c>
      <c r="E350" s="44">
        <v>-70.706737032000007</v>
      </c>
      <c r="F350" s="44">
        <v>-33.4963631379999</v>
      </c>
      <c r="G350" s="45">
        <v>5421.6300000000001</v>
      </c>
      <c r="H350" s="43">
        <v>1</v>
      </c>
      <c r="I350" s="42">
        <v>0</v>
      </c>
      <c r="J350" s="42">
        <v>0</v>
      </c>
      <c r="K350" s="42">
        <v>0</v>
      </c>
      <c r="L350" s="42">
        <v>1</v>
      </c>
    </row>
    <row r="351" ht="14.25" customHeight="1">
      <c r="A351" s="42" t="s">
        <v>15</v>
      </c>
      <c r="B351" s="43" t="s">
        <v>58</v>
      </c>
      <c r="C351" s="43">
        <v>1</v>
      </c>
      <c r="D351" s="43">
        <v>5</v>
      </c>
      <c r="E351" s="44">
        <v>-70.719225601000005</v>
      </c>
      <c r="F351" s="44">
        <v>-33.514904199999897</v>
      </c>
      <c r="G351" s="45">
        <v>7794.8800000000001</v>
      </c>
      <c r="H351" s="43">
        <v>1</v>
      </c>
      <c r="I351" s="42">
        <v>0</v>
      </c>
      <c r="J351" s="42">
        <v>0</v>
      </c>
      <c r="K351" s="42">
        <v>0</v>
      </c>
      <c r="L351" s="42">
        <v>1</v>
      </c>
    </row>
    <row r="352" ht="14.25" customHeight="1">
      <c r="A352" s="42" t="s">
        <v>15</v>
      </c>
      <c r="B352" s="43" t="s">
        <v>58</v>
      </c>
      <c r="C352" s="43">
        <v>1</v>
      </c>
      <c r="D352" s="43">
        <v>6</v>
      </c>
      <c r="E352" s="44">
        <v>-70.756469799999905</v>
      </c>
      <c r="F352" s="44">
        <v>-33.558631599999998</v>
      </c>
      <c r="G352" s="45">
        <v>13759.32</v>
      </c>
      <c r="H352" s="43">
        <v>1</v>
      </c>
      <c r="I352" s="42">
        <v>0</v>
      </c>
      <c r="J352" s="42">
        <v>0</v>
      </c>
      <c r="K352" s="42">
        <v>0</v>
      </c>
      <c r="L352" s="42">
        <v>1</v>
      </c>
    </row>
    <row r="353" ht="14.25" customHeight="1">
      <c r="A353" s="42" t="s">
        <v>15</v>
      </c>
      <c r="B353" s="43" t="s">
        <v>58</v>
      </c>
      <c r="C353" s="43">
        <v>1</v>
      </c>
      <c r="D353" s="43">
        <v>7</v>
      </c>
      <c r="E353" s="44">
        <v>-70.854628099999999</v>
      </c>
      <c r="F353" s="44">
        <v>-33.697113499999901</v>
      </c>
      <c r="G353" s="45">
        <v>31910.91</v>
      </c>
      <c r="H353" s="43">
        <v>1</v>
      </c>
      <c r="I353" s="42">
        <v>0</v>
      </c>
      <c r="J353" s="42">
        <v>0</v>
      </c>
      <c r="K353" s="42">
        <v>0</v>
      </c>
      <c r="L353" s="42">
        <v>1</v>
      </c>
    </row>
    <row r="354" ht="14.25" customHeight="1">
      <c r="A354" s="42" t="s">
        <v>15</v>
      </c>
      <c r="B354" s="43" t="s">
        <v>58</v>
      </c>
      <c r="C354" s="43">
        <v>1</v>
      </c>
      <c r="D354" s="43">
        <v>8</v>
      </c>
      <c r="E354" s="44">
        <v>-70.864058263999894</v>
      </c>
      <c r="F354" s="44">
        <v>-33.733251936999999</v>
      </c>
      <c r="G354" s="45">
        <v>37206.739999999998</v>
      </c>
      <c r="H354" s="43">
        <v>1</v>
      </c>
      <c r="I354" s="42">
        <v>0</v>
      </c>
      <c r="J354" s="42">
        <v>0</v>
      </c>
      <c r="K354" s="42">
        <v>0</v>
      </c>
      <c r="L354" s="42">
        <v>1</v>
      </c>
    </row>
    <row r="355" ht="14.25" customHeight="1">
      <c r="A355" s="42" t="s">
        <v>15</v>
      </c>
      <c r="B355" s="43" t="s">
        <v>58</v>
      </c>
      <c r="C355" s="43">
        <v>1</v>
      </c>
      <c r="D355" s="43">
        <v>9</v>
      </c>
      <c r="E355" s="44">
        <v>-70.861249200000003</v>
      </c>
      <c r="F355" s="44">
        <v>-33.735990000000001</v>
      </c>
      <c r="G355" s="45">
        <v>37824.510000000002</v>
      </c>
      <c r="H355" s="43">
        <v>1</v>
      </c>
      <c r="I355" s="42">
        <v>0</v>
      </c>
      <c r="J355" s="42">
        <v>0</v>
      </c>
      <c r="K355" s="42">
        <v>0</v>
      </c>
      <c r="L355" s="42">
        <v>1</v>
      </c>
    </row>
    <row r="356" ht="14.25" customHeight="1">
      <c r="A356" s="42" t="s">
        <v>15</v>
      </c>
      <c r="B356" s="43" t="s">
        <v>58</v>
      </c>
      <c r="C356" s="43">
        <v>1</v>
      </c>
      <c r="D356" s="43">
        <v>10</v>
      </c>
      <c r="E356" s="44">
        <v>-70.867077378999994</v>
      </c>
      <c r="F356" s="44">
        <v>-33.744353824000001</v>
      </c>
      <c r="G356" s="45">
        <v>39283.160000000003</v>
      </c>
      <c r="H356" s="43">
        <v>1</v>
      </c>
      <c r="I356" s="42">
        <v>0</v>
      </c>
      <c r="J356" s="42">
        <v>0</v>
      </c>
      <c r="K356" s="42">
        <v>0</v>
      </c>
      <c r="L356" s="42">
        <v>1</v>
      </c>
    </row>
    <row r="357" ht="14.25" customHeight="1">
      <c r="A357" s="42" t="s">
        <v>15</v>
      </c>
      <c r="B357" s="43" t="s">
        <v>58</v>
      </c>
      <c r="C357" s="43">
        <v>1</v>
      </c>
      <c r="D357" s="43">
        <v>11</v>
      </c>
      <c r="E357" s="44">
        <v>-70.870141094999994</v>
      </c>
      <c r="F357" s="44">
        <v>-33.744283198999902</v>
      </c>
      <c r="G357" s="45">
        <v>39658.099999999999</v>
      </c>
      <c r="H357" s="43">
        <v>1</v>
      </c>
      <c r="I357" s="42">
        <v>0</v>
      </c>
      <c r="J357" s="42">
        <v>0</v>
      </c>
      <c r="K357" s="42">
        <v>0</v>
      </c>
      <c r="L357" s="42">
        <v>1</v>
      </c>
    </row>
    <row r="358" ht="14.25" customHeight="1">
      <c r="A358" s="42" t="s">
        <v>15</v>
      </c>
      <c r="B358" s="43" t="s">
        <v>58</v>
      </c>
      <c r="C358" s="43">
        <v>1</v>
      </c>
      <c r="D358" s="43">
        <v>12</v>
      </c>
      <c r="E358" s="44">
        <v>-70.868438400000002</v>
      </c>
      <c r="F358" s="44">
        <v>-33.746969099999902</v>
      </c>
      <c r="G358" s="45">
        <v>40133.169999999998</v>
      </c>
      <c r="H358" s="43">
        <v>1</v>
      </c>
      <c r="I358" s="42">
        <v>0</v>
      </c>
      <c r="J358" s="42">
        <v>0</v>
      </c>
      <c r="K358" s="42">
        <v>0</v>
      </c>
      <c r="L358" s="42">
        <v>1</v>
      </c>
    </row>
    <row r="359" ht="14.25" customHeight="1">
      <c r="A359" s="42" t="s">
        <v>15</v>
      </c>
      <c r="B359" s="43" t="s">
        <v>58</v>
      </c>
      <c r="C359" s="43">
        <v>1</v>
      </c>
      <c r="D359" s="43">
        <v>13</v>
      </c>
      <c r="E359" s="44">
        <v>-70.868686382999996</v>
      </c>
      <c r="F359" s="44">
        <v>-33.751974398999998</v>
      </c>
      <c r="G359" s="45">
        <v>40916.309999999998</v>
      </c>
      <c r="H359" s="43">
        <v>1</v>
      </c>
      <c r="I359" s="42">
        <v>0</v>
      </c>
      <c r="J359" s="42">
        <v>0</v>
      </c>
      <c r="K359" s="42">
        <v>0</v>
      </c>
      <c r="L359" s="42">
        <v>1</v>
      </c>
    </row>
    <row r="360" ht="14.25" customHeight="1">
      <c r="A360" s="42" t="s">
        <v>15</v>
      </c>
      <c r="B360" s="43" t="s">
        <v>58</v>
      </c>
      <c r="C360" s="43">
        <v>1</v>
      </c>
      <c r="D360" s="43">
        <v>14</v>
      </c>
      <c r="E360" s="44">
        <v>-70.881455729999999</v>
      </c>
      <c r="F360" s="44">
        <v>-33.752228592999998</v>
      </c>
      <c r="G360" s="45">
        <v>42494.300000000003</v>
      </c>
      <c r="H360" s="43">
        <v>1</v>
      </c>
      <c r="I360" s="42">
        <v>0</v>
      </c>
      <c r="J360" s="42">
        <v>0</v>
      </c>
      <c r="K360" s="42">
        <v>0</v>
      </c>
      <c r="L360" s="42">
        <v>1</v>
      </c>
    </row>
    <row r="361" ht="14.25" customHeight="1">
      <c r="A361" s="42" t="s">
        <v>15</v>
      </c>
      <c r="B361" s="43" t="s">
        <v>58</v>
      </c>
      <c r="C361" s="43">
        <v>1</v>
      </c>
      <c r="D361" s="43">
        <v>15</v>
      </c>
      <c r="E361" s="44">
        <v>-70.894898800000007</v>
      </c>
      <c r="F361" s="44">
        <v>-33.755018900000003</v>
      </c>
      <c r="G361" s="45">
        <v>44027.660000000003</v>
      </c>
      <c r="H361" s="43">
        <v>1</v>
      </c>
      <c r="I361" s="42">
        <v>0</v>
      </c>
      <c r="J361" s="42">
        <v>0</v>
      </c>
      <c r="K361" s="42">
        <v>0</v>
      </c>
      <c r="L361" s="42">
        <v>1</v>
      </c>
    </row>
    <row r="362" ht="14.25" customHeight="1">
      <c r="A362" s="42" t="s">
        <v>15</v>
      </c>
      <c r="B362" s="43" t="s">
        <v>58</v>
      </c>
      <c r="C362" s="43">
        <v>1</v>
      </c>
      <c r="D362" s="43">
        <v>16</v>
      </c>
      <c r="E362" s="44">
        <v>-70.902029471999995</v>
      </c>
      <c r="F362" s="44">
        <v>-33.752357601999996</v>
      </c>
      <c r="G362" s="45">
        <v>45153.779999999999</v>
      </c>
      <c r="H362" s="43">
        <v>1</v>
      </c>
      <c r="I362" s="42">
        <v>0</v>
      </c>
      <c r="J362" s="42">
        <v>0</v>
      </c>
      <c r="K362" s="42">
        <v>0</v>
      </c>
      <c r="L362" s="42">
        <v>1</v>
      </c>
    </row>
    <row r="363" ht="14.25" customHeight="1">
      <c r="A363" s="42" t="s">
        <v>15</v>
      </c>
      <c r="B363" s="43" t="s">
        <v>58</v>
      </c>
      <c r="C363" s="43">
        <v>1</v>
      </c>
      <c r="D363" s="43">
        <v>17</v>
      </c>
      <c r="E363" s="44">
        <v>-70.903362849999994</v>
      </c>
      <c r="F363" s="44">
        <v>-33.744500301000002</v>
      </c>
      <c r="G363" s="45">
        <v>46284.260000000002</v>
      </c>
      <c r="H363" s="43">
        <v>1</v>
      </c>
      <c r="I363" s="42">
        <v>0</v>
      </c>
      <c r="J363" s="42">
        <v>0</v>
      </c>
      <c r="K363" s="42">
        <v>0</v>
      </c>
      <c r="L363" s="42">
        <v>1</v>
      </c>
    </row>
    <row r="364" ht="14.25" customHeight="1">
      <c r="A364" s="42" t="s">
        <v>15</v>
      </c>
      <c r="B364" s="43" t="s">
        <v>58</v>
      </c>
      <c r="C364" s="43">
        <v>1</v>
      </c>
      <c r="D364" s="43">
        <v>18</v>
      </c>
      <c r="E364" s="44">
        <v>-70.910670798999902</v>
      </c>
      <c r="F364" s="44">
        <v>-33.736985351999998</v>
      </c>
      <c r="G364" s="45">
        <v>47495.849999999999</v>
      </c>
      <c r="H364" s="43">
        <v>1</v>
      </c>
      <c r="I364" s="42">
        <v>1</v>
      </c>
      <c r="J364" s="42">
        <v>0</v>
      </c>
      <c r="K364" s="42">
        <v>0.10000000000000001</v>
      </c>
      <c r="L364" s="42">
        <v>1</v>
      </c>
    </row>
    <row r="365" ht="14.25" customHeight="1">
      <c r="A365" s="42" t="s">
        <v>15</v>
      </c>
      <c r="B365" s="43" t="s">
        <v>59</v>
      </c>
      <c r="C365" s="43">
        <v>0</v>
      </c>
      <c r="D365" s="43">
        <v>1</v>
      </c>
      <c r="E365" s="44">
        <v>-70.903952699999905</v>
      </c>
      <c r="F365" s="44">
        <v>-33.777892117999997</v>
      </c>
      <c r="G365" s="45">
        <v>316.57999999999998</v>
      </c>
      <c r="H365" s="43">
        <v>1</v>
      </c>
      <c r="I365" s="42">
        <v>1</v>
      </c>
      <c r="J365" s="42">
        <v>0</v>
      </c>
      <c r="K365" s="42">
        <v>0.80000000000000004</v>
      </c>
      <c r="L365" s="42">
        <v>1</v>
      </c>
    </row>
    <row r="366" ht="14.25" customHeight="1">
      <c r="A366" s="42" t="s">
        <v>15</v>
      </c>
      <c r="B366" s="43" t="s">
        <v>59</v>
      </c>
      <c r="C366" s="43">
        <v>0</v>
      </c>
      <c r="D366" s="43">
        <v>2</v>
      </c>
      <c r="E366" s="44">
        <v>-70.901523349999906</v>
      </c>
      <c r="F366" s="44">
        <v>-33.751682299999999</v>
      </c>
      <c r="G366" s="45">
        <v>3766.04</v>
      </c>
      <c r="H366" s="43">
        <v>1</v>
      </c>
      <c r="I366" s="42">
        <v>1</v>
      </c>
      <c r="J366" s="42">
        <v>0</v>
      </c>
      <c r="K366" s="42">
        <v>0.10000000000000001</v>
      </c>
      <c r="L366" s="42">
        <v>1</v>
      </c>
    </row>
    <row r="367" ht="14.25" customHeight="1">
      <c r="A367" s="42" t="s">
        <v>15</v>
      </c>
      <c r="B367" s="43" t="s">
        <v>59</v>
      </c>
      <c r="C367" s="43">
        <v>0</v>
      </c>
      <c r="D367" s="43">
        <v>3</v>
      </c>
      <c r="E367" s="44">
        <v>-70.897941136</v>
      </c>
      <c r="F367" s="44">
        <v>-33.749455756000003</v>
      </c>
      <c r="G367" s="45">
        <v>4289.3299999999999</v>
      </c>
      <c r="H367" s="43">
        <v>1</v>
      </c>
      <c r="I367" s="42">
        <v>0</v>
      </c>
      <c r="J367" s="42">
        <v>0</v>
      </c>
      <c r="K367" s="42">
        <v>0</v>
      </c>
      <c r="L367" s="42">
        <v>1</v>
      </c>
    </row>
    <row r="368" ht="14.25" customHeight="1">
      <c r="A368" s="42" t="s">
        <v>15</v>
      </c>
      <c r="B368" s="43" t="s">
        <v>59</v>
      </c>
      <c r="C368" s="43">
        <v>0</v>
      </c>
      <c r="D368" s="43">
        <v>4</v>
      </c>
      <c r="E368" s="44">
        <v>-70.899554279</v>
      </c>
      <c r="F368" s="44">
        <v>-33.743540289999899</v>
      </c>
      <c r="G368" s="45">
        <v>5364.6499999999996</v>
      </c>
      <c r="H368" s="43">
        <v>1</v>
      </c>
      <c r="I368" s="42">
        <v>0</v>
      </c>
      <c r="J368" s="42">
        <v>0</v>
      </c>
      <c r="K368" s="42">
        <v>0</v>
      </c>
      <c r="L368" s="42">
        <v>1</v>
      </c>
    </row>
    <row r="369" ht="14.25" customHeight="1">
      <c r="A369" s="42" t="s">
        <v>15</v>
      </c>
      <c r="B369" s="43" t="s">
        <v>59</v>
      </c>
      <c r="C369" s="43">
        <v>0</v>
      </c>
      <c r="D369" s="43">
        <v>5</v>
      </c>
      <c r="E369" s="44">
        <v>-70.916102015999996</v>
      </c>
      <c r="F369" s="44">
        <v>-33.724984014999997</v>
      </c>
      <c r="G369" s="45">
        <v>8278.9300000000003</v>
      </c>
      <c r="H369" s="43">
        <v>1</v>
      </c>
      <c r="I369" s="42">
        <v>0</v>
      </c>
      <c r="J369" s="42">
        <v>0</v>
      </c>
      <c r="K369" s="42">
        <v>0</v>
      </c>
      <c r="L369" s="42">
        <v>1</v>
      </c>
    </row>
    <row r="370" ht="14.25" customHeight="1">
      <c r="A370" s="42" t="s">
        <v>15</v>
      </c>
      <c r="B370" s="43" t="s">
        <v>59</v>
      </c>
      <c r="C370" s="43">
        <v>0</v>
      </c>
      <c r="D370" s="43">
        <v>6</v>
      </c>
      <c r="E370" s="44">
        <v>-70.880972705999994</v>
      </c>
      <c r="F370" s="44">
        <v>-33.650020443000003</v>
      </c>
      <c r="G370" s="45">
        <v>20035.669999999998</v>
      </c>
      <c r="H370" s="43">
        <v>1</v>
      </c>
      <c r="I370" s="42">
        <v>0</v>
      </c>
      <c r="J370" s="42">
        <v>0</v>
      </c>
      <c r="K370" s="42">
        <v>0</v>
      </c>
      <c r="L370" s="42">
        <v>0</v>
      </c>
    </row>
    <row r="371" ht="14.25" customHeight="1">
      <c r="A371" s="42" t="s">
        <v>15</v>
      </c>
      <c r="B371" s="43" t="s">
        <v>59</v>
      </c>
      <c r="C371" s="43">
        <v>0</v>
      </c>
      <c r="D371" s="43">
        <v>7</v>
      </c>
      <c r="E371" s="44">
        <v>-70.845326200000002</v>
      </c>
      <c r="F371" s="44">
        <v>-33.585557399999999</v>
      </c>
      <c r="G371" s="45">
        <v>28103.279999999999</v>
      </c>
      <c r="H371" s="43">
        <v>1</v>
      </c>
      <c r="I371" s="42">
        <v>0</v>
      </c>
      <c r="J371" s="42">
        <v>0</v>
      </c>
      <c r="K371" s="42">
        <v>0</v>
      </c>
      <c r="L371" s="42">
        <v>0</v>
      </c>
    </row>
    <row r="372" ht="14.25" customHeight="1">
      <c r="A372" s="42" t="s">
        <v>15</v>
      </c>
      <c r="B372" s="43" t="s">
        <v>59</v>
      </c>
      <c r="C372" s="43">
        <v>0</v>
      </c>
      <c r="D372" s="43">
        <v>8</v>
      </c>
      <c r="E372" s="44">
        <v>-70.834456500000002</v>
      </c>
      <c r="F372" s="44">
        <v>-33.560448699999903</v>
      </c>
      <c r="G372" s="45">
        <v>31621.970000000001</v>
      </c>
      <c r="H372" s="43">
        <v>1</v>
      </c>
      <c r="I372" s="42">
        <v>0</v>
      </c>
      <c r="J372" s="42">
        <v>0</v>
      </c>
      <c r="K372" s="42">
        <v>0</v>
      </c>
      <c r="L372" s="42">
        <v>0</v>
      </c>
    </row>
    <row r="373" ht="14.25" customHeight="1">
      <c r="A373" s="42" t="s">
        <v>15</v>
      </c>
      <c r="B373" s="43" t="s">
        <v>59</v>
      </c>
      <c r="C373" s="43">
        <v>0</v>
      </c>
      <c r="D373" s="43">
        <v>9</v>
      </c>
      <c r="E373" s="44">
        <v>-70.808313498999993</v>
      </c>
      <c r="F373" s="44">
        <v>-33.548611200000003</v>
      </c>
      <c r="G373" s="45">
        <v>34439.529999999999</v>
      </c>
      <c r="H373" s="43">
        <v>1</v>
      </c>
      <c r="I373" s="42">
        <v>0</v>
      </c>
      <c r="J373" s="42">
        <v>0</v>
      </c>
      <c r="K373" s="42">
        <v>0</v>
      </c>
      <c r="L373" s="42">
        <v>0</v>
      </c>
    </row>
    <row r="374" ht="14.25" customHeight="1">
      <c r="A374" s="42" t="s">
        <v>15</v>
      </c>
      <c r="B374" s="43" t="s">
        <v>59</v>
      </c>
      <c r="C374" s="43">
        <v>0</v>
      </c>
      <c r="D374" s="43">
        <v>10</v>
      </c>
      <c r="E374" s="44">
        <v>-70.798216198999995</v>
      </c>
      <c r="F374" s="44">
        <v>-33.5022483999999</v>
      </c>
      <c r="G374" s="45">
        <v>39774.419999999998</v>
      </c>
      <c r="H374" s="43">
        <v>1</v>
      </c>
      <c r="I374" s="42">
        <v>0</v>
      </c>
      <c r="J374" s="42">
        <v>0</v>
      </c>
      <c r="K374" s="42">
        <v>0</v>
      </c>
      <c r="L374" s="42">
        <v>0</v>
      </c>
    </row>
    <row r="375" ht="14.25" customHeight="1">
      <c r="A375" s="42" t="s">
        <v>15</v>
      </c>
      <c r="B375" s="43" t="s">
        <v>59</v>
      </c>
      <c r="C375" s="43">
        <v>0</v>
      </c>
      <c r="D375" s="43">
        <v>11</v>
      </c>
      <c r="E375" s="44">
        <v>-70.761413950000005</v>
      </c>
      <c r="F375" s="44">
        <v>-33.493361499999899</v>
      </c>
      <c r="G375" s="45">
        <v>43421.970000000001</v>
      </c>
      <c r="H375" s="43">
        <v>1</v>
      </c>
      <c r="I375" s="42">
        <v>0</v>
      </c>
      <c r="J375" s="42">
        <v>0</v>
      </c>
      <c r="K375" s="42">
        <v>0</v>
      </c>
      <c r="L375" s="42">
        <v>0</v>
      </c>
    </row>
    <row r="376" ht="14.25" customHeight="1">
      <c r="A376" s="42" t="s">
        <v>15</v>
      </c>
      <c r="B376" s="43" t="s">
        <v>59</v>
      </c>
      <c r="C376" s="43">
        <v>0</v>
      </c>
      <c r="D376" s="43">
        <v>12</v>
      </c>
      <c r="E376" s="44">
        <v>-70.728039199999998</v>
      </c>
      <c r="F376" s="44">
        <v>-33.483990900000002</v>
      </c>
      <c r="G376" s="45">
        <v>46901.709999999999</v>
      </c>
      <c r="H376" s="43">
        <v>1</v>
      </c>
      <c r="I376" s="42">
        <v>0</v>
      </c>
      <c r="J376" s="42">
        <v>0</v>
      </c>
      <c r="K376" s="42">
        <v>0</v>
      </c>
      <c r="L376" s="42">
        <v>0</v>
      </c>
    </row>
    <row r="377" ht="14.25" customHeight="1">
      <c r="A377" s="42" t="s">
        <v>15</v>
      </c>
      <c r="B377" s="43" t="s">
        <v>59</v>
      </c>
      <c r="C377" s="43">
        <v>0</v>
      </c>
      <c r="D377" s="43">
        <v>13</v>
      </c>
      <c r="E377" s="44">
        <v>-70.697774499999994</v>
      </c>
      <c r="F377" s="44">
        <v>-33.479651050999998</v>
      </c>
      <c r="G377" s="45">
        <v>49768.940000000002</v>
      </c>
      <c r="H377" s="43">
        <v>1</v>
      </c>
      <c r="I377" s="42">
        <v>0</v>
      </c>
      <c r="J377" s="42">
        <v>0</v>
      </c>
      <c r="K377" s="42">
        <v>0</v>
      </c>
      <c r="L377" s="42">
        <v>0</v>
      </c>
    </row>
    <row r="378" ht="14.25" customHeight="1">
      <c r="A378" s="42" t="s">
        <v>15</v>
      </c>
      <c r="B378" s="43" t="s">
        <v>59</v>
      </c>
      <c r="C378" s="43">
        <v>0</v>
      </c>
      <c r="D378" s="43">
        <v>14</v>
      </c>
      <c r="E378" s="44">
        <v>-70.687632750999995</v>
      </c>
      <c r="F378" s="44">
        <v>-33.4737372499999</v>
      </c>
      <c r="G378" s="45">
        <v>52250.010000000002</v>
      </c>
      <c r="H378" s="43">
        <v>1</v>
      </c>
      <c r="I378" s="42">
        <v>0</v>
      </c>
      <c r="J378" s="42">
        <v>0</v>
      </c>
      <c r="K378" s="42">
        <v>0</v>
      </c>
      <c r="L378" s="42">
        <v>1</v>
      </c>
    </row>
    <row r="379" ht="14.25" customHeight="1">
      <c r="A379" s="42" t="s">
        <v>15</v>
      </c>
      <c r="B379" s="43" t="s">
        <v>59</v>
      </c>
      <c r="C379" s="43">
        <v>0</v>
      </c>
      <c r="D379" s="43">
        <v>15</v>
      </c>
      <c r="E379" s="44">
        <v>-70.684347849999895</v>
      </c>
      <c r="F379" s="44">
        <v>-33.464127499999996</v>
      </c>
      <c r="G379" s="45">
        <v>53663.419999999998</v>
      </c>
      <c r="H379" s="43">
        <v>1</v>
      </c>
      <c r="I379" s="42">
        <v>0</v>
      </c>
      <c r="J379" s="42">
        <v>0</v>
      </c>
      <c r="K379" s="42">
        <v>0</v>
      </c>
      <c r="L379" s="42">
        <v>1</v>
      </c>
    </row>
    <row r="380" ht="14.25" customHeight="1">
      <c r="A380" s="42" t="s">
        <v>15</v>
      </c>
      <c r="B380" s="43" t="s">
        <v>59</v>
      </c>
      <c r="C380" s="43">
        <v>0</v>
      </c>
      <c r="D380" s="43">
        <v>16</v>
      </c>
      <c r="E380" s="44">
        <v>-70.683026366000007</v>
      </c>
      <c r="F380" s="44">
        <v>-33.455118621999901</v>
      </c>
      <c r="G380" s="45">
        <v>54718.040000000001</v>
      </c>
      <c r="H380" s="43">
        <v>1</v>
      </c>
      <c r="I380" s="42">
        <v>1</v>
      </c>
      <c r="J380" s="42">
        <v>0</v>
      </c>
      <c r="K380" s="42">
        <v>0.10000000000000001</v>
      </c>
      <c r="L380" s="42">
        <v>1</v>
      </c>
    </row>
  </sheetData>
  <mergeCells count="9">
    <mergeCell ref="A2:L2"/>
    <mergeCell ref="H6:L6"/>
    <mergeCell ref="F7:G7"/>
    <mergeCell ref="H7:L7"/>
    <mergeCell ref="A6:B6"/>
    <mergeCell ref="A7:B7"/>
    <mergeCell ref="C6:E6"/>
    <mergeCell ref="C7:E7"/>
    <mergeCell ref="F6:G6"/>
  </mergeCells>
  <conditionalFormatting sqref="H7:L7">
    <cfRule priority="2" dxfId="11" type="cellIs" operator="equal">
      <formula>0</formula>
    </cfRule>
  </conditionalFormatting>
  <printOptions horizontalCentered="1"/>
  <pageMargins left="0.7083333" right="0.7083333" top="0.7479166" bottom="0.7479166" header="0.3152778" footer="0.3152778"/>
  <pageSetup r:id="rId1" paperSize="169" orientation="portrait" scale="86" fitToWidth="0"/>
  <tableParts count="1">
    <tablePart r:id="rId2"/>
  </tableParts>
</worksheet>
</file>

<file path=xl/worksheets/sheet4.xml><?xml version="1.0" encoding="utf-8"?>
<worksheet xmlns:r="http://schemas.openxmlformats.org/officeDocument/2006/relationships" xmlns="http://schemas.openxmlformats.org/spreadsheetml/2006/main">
  <sheetPr codeName="Hoja3">
    <pageSetUpPr fitToPage="1"/>
  </sheetPr>
  <sheetViews>
    <sheetView zoomScale="90" zoomScaleNormal="90" workbookViewId="0">
      <selection activeCell="K7" sqref="K7"/>
    </sheetView>
  </sheetViews>
  <sheetFormatPr baseColWidth="10" defaultColWidth="11.42578" defaultRowHeight="15"/>
  <cols>
    <col min="1" max="1" width="11.57031" style="4" customWidth="1"/>
    <col min="2" max="2" width="7.285156" style="4" bestFit="1" customWidth="1"/>
    <col min="3" max="3" width="6.855469" style="4" bestFit="1" customWidth="1"/>
    <col min="4" max="4" width="15.57031" style="4" customWidth="1"/>
    <col min="5" max="7" width="16.28516" style="4" customWidth="1"/>
    <col min="8" max="8" width="9.710938" style="4" bestFit="1" customWidth="1"/>
    <col min="9" max="9" width="20.85547" customWidth="1"/>
    <col min="10" max="10" width="6.140625" bestFit="1" customWidth="1"/>
  </cols>
  <sheetData>
    <row r="1">
      <c r="A1"/>
      <c r="B1"/>
      <c r="C1"/>
      <c r="D1"/>
      <c r="E1"/>
      <c r="F1"/>
      <c r="G1"/>
      <c r="H1"/>
    </row>
    <row r="2" ht="16.5">
      <c r="A2" s="17" t="str">
        <f>"HORAS DE PASADA PROGRAMADA DE LA UNIDAD DE NEGOCIO ("&amp;A7&amp;" - "&amp;C7&amp;")"</f>
        <v>HORAS DE PASADA PROGRAMADA DE LA UNIDAD DE NEGOCIO (UN790 - NORMAL)</v>
      </c>
      <c r="B2" s="17"/>
      <c r="C2" s="17"/>
      <c r="D2" s="17"/>
      <c r="E2" s="17"/>
      <c r="F2" s="17"/>
      <c r="G2" s="17"/>
      <c r="H2" s="17"/>
    </row>
    <row r="3">
      <c r="A3"/>
      <c r="B3"/>
      <c r="C3"/>
      <c r="D3"/>
      <c r="E3"/>
      <c r="F3"/>
      <c r="G3"/>
      <c r="H3"/>
    </row>
    <row r="4" s="2" customFormat="1">
      <c r="A4" s="2" t="s">
        <v>27</v>
      </c>
    </row>
    <row r="5">
      <c r="A5"/>
      <c r="B5"/>
      <c r="C5"/>
      <c r="D5"/>
      <c r="E5"/>
      <c r="F5"/>
      <c r="G5"/>
      <c r="H5"/>
    </row>
    <row r="6">
      <c r="A6" s="31" t="s">
        <v>28</v>
      </c>
      <c r="B6" s="32"/>
      <c r="C6" s="31" t="s">
        <v>29</v>
      </c>
      <c r="D6" s="33"/>
      <c r="E6" s="46" t="s">
        <v>60</v>
      </c>
      <c r="F6" s="46" t="s">
        <v>61</v>
      </c>
      <c r="G6"/>
      <c r="H6"/>
    </row>
    <row r="7">
      <c r="A7" s="22" t="s">
        <v>15</v>
      </c>
      <c r="B7" s="23"/>
      <c r="C7" s="22" t="s">
        <v>3</v>
      </c>
      <c r="D7" s="24"/>
      <c r="E7" s="14" t="s">
        <v>19</v>
      </c>
      <c r="F7" s="14" t="s">
        <v>23</v>
      </c>
      <c r="G7"/>
      <c r="H7"/>
    </row>
    <row r="8">
      <c r="A8"/>
      <c r="B8"/>
      <c r="C8"/>
      <c r="D8"/>
      <c r="E8"/>
      <c r="F8"/>
      <c r="G8"/>
      <c r="H8"/>
    </row>
    <row r="9" s="2" customFormat="1">
      <c r="A9" s="2" t="s">
        <v>73</v>
      </c>
      <c r="D9" s="47"/>
      <c r="E9" s="48"/>
      <c r="F9" s="47"/>
    </row>
    <row r="10" ht="27" customHeight="1"/>
    <row r="11" ht="53.25" customHeight="1">
      <c r="A11" s="49" t="s">
        <v>28</v>
      </c>
      <c r="B11" s="49" t="s">
        <v>32</v>
      </c>
      <c r="C11" s="49" t="s">
        <v>33</v>
      </c>
      <c r="D11" s="49" t="s">
        <v>74</v>
      </c>
      <c r="E11" s="49" t="s">
        <v>75</v>
      </c>
      <c r="F11" s="49" t="s">
        <v>76</v>
      </c>
      <c r="G11" s="50" t="s">
        <v>77</v>
      </c>
      <c r="H11" s="50" t="s">
        <v>78</v>
      </c>
    </row>
    <row r="12">
      <c r="A12" s="51" t="s">
        <v>15</v>
      </c>
      <c r="B12" s="51" t="s">
        <v>37</v>
      </c>
      <c r="C12" s="51">
        <v>0</v>
      </c>
      <c r="D12" s="51">
        <v>1</v>
      </c>
      <c r="E12" s="11" t="s">
        <v>79</v>
      </c>
      <c r="F12" s="11" t="s">
        <v>80</v>
      </c>
      <c r="G12" s="11" t="s">
        <v>81</v>
      </c>
      <c r="H12" s="51" t="s">
        <v>82</v>
      </c>
    </row>
    <row r="13" ht="15.75" customHeight="1">
      <c r="A13" s="51" t="s">
        <v>15</v>
      </c>
      <c r="B13" s="51" t="s">
        <v>37</v>
      </c>
      <c r="C13" s="51">
        <v>0</v>
      </c>
      <c r="D13" s="51">
        <v>1</v>
      </c>
      <c r="E13" s="11" t="s">
        <v>79</v>
      </c>
      <c r="F13" s="11" t="s">
        <v>80</v>
      </c>
      <c r="G13" s="11" t="s">
        <v>83</v>
      </c>
      <c r="H13" s="51" t="s">
        <v>84</v>
      </c>
    </row>
    <row r="14">
      <c r="A14" s="51" t="s">
        <v>15</v>
      </c>
      <c r="B14" s="51" t="s">
        <v>37</v>
      </c>
      <c r="C14" s="51">
        <v>0</v>
      </c>
      <c r="D14" s="51">
        <v>1</v>
      </c>
      <c r="E14" s="11" t="s">
        <v>79</v>
      </c>
      <c r="F14" s="11" t="s">
        <v>80</v>
      </c>
      <c r="G14" s="11" t="s">
        <v>79</v>
      </c>
      <c r="H14" s="51" t="s">
        <v>85</v>
      </c>
    </row>
    <row r="15">
      <c r="A15" s="51" t="s">
        <v>15</v>
      </c>
      <c r="B15" s="51" t="s">
        <v>37</v>
      </c>
      <c r="C15" s="51">
        <v>1</v>
      </c>
      <c r="D15" s="51">
        <v>1</v>
      </c>
      <c r="E15" s="11" t="s">
        <v>79</v>
      </c>
      <c r="F15" s="11" t="s">
        <v>86</v>
      </c>
      <c r="G15" s="11" t="s">
        <v>83</v>
      </c>
      <c r="H15" s="51" t="s">
        <v>82</v>
      </c>
    </row>
    <row r="16">
      <c r="A16" s="51" t="s">
        <v>15</v>
      </c>
      <c r="B16" s="51" t="s">
        <v>37</v>
      </c>
      <c r="C16" s="51">
        <v>1</v>
      </c>
      <c r="D16" s="51">
        <v>1</v>
      </c>
      <c r="E16" s="11" t="s">
        <v>79</v>
      </c>
      <c r="F16" s="11" t="s">
        <v>86</v>
      </c>
      <c r="G16" s="11" t="s">
        <v>83</v>
      </c>
      <c r="H16" s="51" t="s">
        <v>84</v>
      </c>
    </row>
    <row r="17">
      <c r="A17" s="51" t="s">
        <v>15</v>
      </c>
      <c r="B17" s="51" t="s">
        <v>37</v>
      </c>
      <c r="C17" s="51">
        <v>1</v>
      </c>
      <c r="D17" s="51">
        <v>1</v>
      </c>
      <c r="E17" s="11" t="s">
        <v>79</v>
      </c>
      <c r="F17" s="11" t="s">
        <v>87</v>
      </c>
      <c r="G17" s="11" t="s">
        <v>79</v>
      </c>
      <c r="H17" s="51" t="s">
        <v>85</v>
      </c>
    </row>
    <row r="18">
      <c r="A18" s="51" t="s">
        <v>15</v>
      </c>
      <c r="B18" s="51" t="s">
        <v>44</v>
      </c>
      <c r="C18" s="51">
        <v>0</v>
      </c>
      <c r="D18" s="51">
        <v>1</v>
      </c>
      <c r="E18" s="11" t="s">
        <v>79</v>
      </c>
      <c r="F18" s="11" t="s">
        <v>80</v>
      </c>
      <c r="G18" s="11" t="s">
        <v>83</v>
      </c>
      <c r="H18" s="51" t="s">
        <v>82</v>
      </c>
    </row>
    <row r="19">
      <c r="A19" s="51" t="s">
        <v>15</v>
      </c>
      <c r="B19" s="51" t="s">
        <v>45</v>
      </c>
      <c r="C19" s="51">
        <v>0</v>
      </c>
      <c r="D19" s="51">
        <v>1</v>
      </c>
      <c r="E19" s="11" t="s">
        <v>79</v>
      </c>
      <c r="F19" s="11" t="s">
        <v>88</v>
      </c>
      <c r="G19" s="11" t="s">
        <v>79</v>
      </c>
      <c r="H19" s="51" t="s">
        <v>82</v>
      </c>
    </row>
    <row r="20">
      <c r="A20" s="51" t="s">
        <v>15</v>
      </c>
      <c r="B20" s="51" t="s">
        <v>45</v>
      </c>
      <c r="C20" s="51">
        <v>0</v>
      </c>
      <c r="D20" s="51">
        <v>1</v>
      </c>
      <c r="E20" s="11" t="s">
        <v>79</v>
      </c>
      <c r="F20" s="11" t="s">
        <v>89</v>
      </c>
      <c r="G20" s="11" t="s">
        <v>79</v>
      </c>
      <c r="H20" s="51" t="s">
        <v>84</v>
      </c>
    </row>
    <row r="21">
      <c r="A21" s="51" t="s">
        <v>15</v>
      </c>
      <c r="B21" s="51" t="s">
        <v>45</v>
      </c>
      <c r="C21" s="51">
        <v>1</v>
      </c>
      <c r="D21" s="51">
        <v>1</v>
      </c>
      <c r="E21" s="11" t="s">
        <v>90</v>
      </c>
      <c r="F21" s="11" t="s">
        <v>91</v>
      </c>
      <c r="G21" s="11" t="s">
        <v>90</v>
      </c>
      <c r="H21" s="51" t="s">
        <v>82</v>
      </c>
    </row>
    <row r="22">
      <c r="A22" s="51" t="s">
        <v>15</v>
      </c>
      <c r="B22" s="51" t="s">
        <v>45</v>
      </c>
      <c r="C22" s="51">
        <v>1</v>
      </c>
      <c r="D22" s="51">
        <v>1</v>
      </c>
      <c r="E22" s="11" t="s">
        <v>79</v>
      </c>
      <c r="F22" s="11" t="s">
        <v>92</v>
      </c>
      <c r="G22" s="11" t="s">
        <v>79</v>
      </c>
      <c r="H22" s="51" t="s">
        <v>84</v>
      </c>
    </row>
    <row r="23">
      <c r="A23" s="51" t="s">
        <v>15</v>
      </c>
      <c r="B23" s="51" t="s">
        <v>46</v>
      </c>
      <c r="C23" s="51">
        <v>1</v>
      </c>
      <c r="D23" s="51">
        <v>1</v>
      </c>
      <c r="E23" s="11" t="s">
        <v>83</v>
      </c>
      <c r="F23" s="11" t="s">
        <v>93</v>
      </c>
      <c r="G23" s="11" t="s">
        <v>83</v>
      </c>
      <c r="H23" s="51" t="s">
        <v>82</v>
      </c>
    </row>
    <row r="24">
      <c r="A24" s="51" t="s">
        <v>15</v>
      </c>
      <c r="B24" s="51" t="s">
        <v>46</v>
      </c>
      <c r="C24" s="51">
        <v>1</v>
      </c>
      <c r="D24" s="51">
        <v>1</v>
      </c>
      <c r="E24" s="11" t="s">
        <v>79</v>
      </c>
      <c r="F24" s="11" t="s">
        <v>94</v>
      </c>
      <c r="G24" s="11" t="s">
        <v>79</v>
      </c>
      <c r="H24" s="51" t="s">
        <v>84</v>
      </c>
    </row>
    <row r="25">
      <c r="A25" s="51" t="s">
        <v>15</v>
      </c>
      <c r="B25" s="51" t="s">
        <v>48</v>
      </c>
      <c r="C25" s="51">
        <v>0</v>
      </c>
      <c r="D25" s="51">
        <v>1</v>
      </c>
      <c r="E25" s="11" t="s">
        <v>79</v>
      </c>
      <c r="F25" s="11" t="s">
        <v>80</v>
      </c>
      <c r="G25" s="11" t="s">
        <v>90</v>
      </c>
      <c r="H25" s="51" t="s">
        <v>82</v>
      </c>
    </row>
    <row r="26">
      <c r="A26" s="51" t="s">
        <v>15</v>
      </c>
      <c r="B26" s="51" t="s">
        <v>48</v>
      </c>
      <c r="C26" s="51">
        <v>0</v>
      </c>
      <c r="D26" s="51">
        <v>1</v>
      </c>
      <c r="E26" s="11" t="s">
        <v>79</v>
      </c>
      <c r="F26" s="11" t="s">
        <v>95</v>
      </c>
      <c r="G26" s="11" t="s">
        <v>79</v>
      </c>
      <c r="H26" s="51" t="s">
        <v>84</v>
      </c>
    </row>
    <row r="27">
      <c r="A27" s="51" t="s">
        <v>15</v>
      </c>
      <c r="B27" s="51" t="s">
        <v>49</v>
      </c>
      <c r="C27" s="51">
        <v>0</v>
      </c>
      <c r="D27" s="51">
        <v>1</v>
      </c>
      <c r="E27" s="11" t="s">
        <v>90</v>
      </c>
      <c r="F27" s="11" t="s">
        <v>95</v>
      </c>
      <c r="G27" s="11" t="s">
        <v>90</v>
      </c>
      <c r="H27" s="51" t="s">
        <v>82</v>
      </c>
    </row>
    <row r="28">
      <c r="A28" s="51" t="s">
        <v>15</v>
      </c>
      <c r="B28" s="51" t="s">
        <v>49</v>
      </c>
      <c r="C28" s="51">
        <v>0</v>
      </c>
      <c r="D28" s="51">
        <v>1</v>
      </c>
      <c r="E28" s="11" t="s">
        <v>79</v>
      </c>
      <c r="F28" s="11" t="s">
        <v>95</v>
      </c>
      <c r="G28" s="11" t="s">
        <v>79</v>
      </c>
      <c r="H28" s="51" t="s">
        <v>84</v>
      </c>
    </row>
    <row r="29">
      <c r="A29" s="51" t="s">
        <v>15</v>
      </c>
      <c r="B29" s="51" t="s">
        <v>49</v>
      </c>
      <c r="C29" s="51">
        <v>1</v>
      </c>
      <c r="D29" s="51">
        <v>1</v>
      </c>
      <c r="E29" s="11" t="s">
        <v>79</v>
      </c>
      <c r="F29" s="11" t="s">
        <v>87</v>
      </c>
      <c r="G29" s="11" t="s">
        <v>79</v>
      </c>
      <c r="H29" s="51" t="s">
        <v>82</v>
      </c>
    </row>
    <row r="30">
      <c r="A30" s="51" t="s">
        <v>15</v>
      </c>
      <c r="B30" s="51" t="s">
        <v>49</v>
      </c>
      <c r="C30" s="51">
        <v>1</v>
      </c>
      <c r="D30" s="51">
        <v>1</v>
      </c>
      <c r="E30" s="11" t="s">
        <v>79</v>
      </c>
      <c r="F30" s="11" t="s">
        <v>96</v>
      </c>
      <c r="G30" s="11" t="s">
        <v>79</v>
      </c>
      <c r="H30" s="51" t="s">
        <v>84</v>
      </c>
    </row>
    <row r="31">
      <c r="A31" s="51" t="s">
        <v>15</v>
      </c>
      <c r="B31" s="51" t="s">
        <v>51</v>
      </c>
      <c r="C31" s="51">
        <v>0</v>
      </c>
      <c r="D31" s="51">
        <v>1</v>
      </c>
      <c r="E31" s="11" t="s">
        <v>79</v>
      </c>
      <c r="F31" s="11" t="s">
        <v>80</v>
      </c>
      <c r="G31" s="11" t="s">
        <v>79</v>
      </c>
      <c r="H31" s="51" t="s">
        <v>82</v>
      </c>
    </row>
    <row r="32">
      <c r="A32" s="51" t="s">
        <v>15</v>
      </c>
      <c r="B32" s="51" t="s">
        <v>51</v>
      </c>
      <c r="C32" s="51">
        <v>1</v>
      </c>
      <c r="D32" s="51">
        <v>1</v>
      </c>
      <c r="E32" s="11" t="s">
        <v>79</v>
      </c>
      <c r="F32" s="11" t="s">
        <v>86</v>
      </c>
      <c r="G32" s="11" t="s">
        <v>79</v>
      </c>
      <c r="H32" s="51" t="s">
        <v>82</v>
      </c>
    </row>
    <row r="33">
      <c r="A33" s="51" t="s">
        <v>15</v>
      </c>
      <c r="B33" s="51" t="s">
        <v>53</v>
      </c>
      <c r="C33" s="51">
        <v>0</v>
      </c>
      <c r="D33" s="51">
        <v>1</v>
      </c>
      <c r="E33" s="11" t="s">
        <v>83</v>
      </c>
      <c r="F33" s="11" t="s">
        <v>97</v>
      </c>
      <c r="G33" s="11" t="s">
        <v>81</v>
      </c>
      <c r="H33" s="51" t="s">
        <v>82</v>
      </c>
    </row>
    <row r="34">
      <c r="A34" s="51" t="s">
        <v>15</v>
      </c>
      <c r="B34" s="51" t="s">
        <v>54</v>
      </c>
      <c r="C34" s="51">
        <v>0</v>
      </c>
      <c r="D34" s="51">
        <v>1</v>
      </c>
      <c r="E34" s="11" t="s">
        <v>83</v>
      </c>
      <c r="F34" s="11" t="s">
        <v>98</v>
      </c>
      <c r="G34" s="11" t="s">
        <v>83</v>
      </c>
      <c r="H34" s="51" t="s">
        <v>82</v>
      </c>
    </row>
    <row r="35">
      <c r="A35" s="51" t="s">
        <v>15</v>
      </c>
      <c r="B35" s="51" t="s">
        <v>54</v>
      </c>
      <c r="C35" s="51">
        <v>0</v>
      </c>
      <c r="D35" s="51">
        <v>1</v>
      </c>
      <c r="E35" s="11" t="s">
        <v>79</v>
      </c>
      <c r="F35" s="11" t="s">
        <v>97</v>
      </c>
      <c r="G35" s="11" t="s">
        <v>90</v>
      </c>
      <c r="H35" s="51" t="s">
        <v>84</v>
      </c>
    </row>
    <row r="36">
      <c r="A36" s="51" t="s">
        <v>15</v>
      </c>
      <c r="B36" s="51" t="s">
        <v>54</v>
      </c>
      <c r="C36" s="51">
        <v>1</v>
      </c>
      <c r="D36" s="51">
        <v>1</v>
      </c>
      <c r="E36" s="11" t="s">
        <v>79</v>
      </c>
      <c r="F36" s="11" t="s">
        <v>99</v>
      </c>
      <c r="G36" s="11" t="s">
        <v>90</v>
      </c>
      <c r="H36" s="51" t="s">
        <v>82</v>
      </c>
    </row>
    <row r="37">
      <c r="A37" s="51" t="s">
        <v>15</v>
      </c>
      <c r="B37" s="51" t="s">
        <v>54</v>
      </c>
      <c r="C37" s="51">
        <v>1</v>
      </c>
      <c r="D37" s="51">
        <v>1</v>
      </c>
      <c r="E37" s="11" t="s">
        <v>79</v>
      </c>
      <c r="F37" s="11" t="s">
        <v>100</v>
      </c>
      <c r="G37" s="11" t="s">
        <v>83</v>
      </c>
      <c r="H37" s="51" t="s">
        <v>84</v>
      </c>
    </row>
    <row r="38">
      <c r="A38" s="51" t="s">
        <v>15</v>
      </c>
      <c r="B38" s="51" t="s">
        <v>55</v>
      </c>
      <c r="C38" s="51">
        <v>0</v>
      </c>
      <c r="D38" s="51">
        <v>1</v>
      </c>
      <c r="E38" s="11" t="s">
        <v>79</v>
      </c>
      <c r="F38" s="11" t="s">
        <v>101</v>
      </c>
      <c r="G38" s="11" t="s">
        <v>79</v>
      </c>
      <c r="H38" s="51" t="s">
        <v>82</v>
      </c>
    </row>
    <row r="39">
      <c r="A39" s="51" t="s">
        <v>15</v>
      </c>
      <c r="B39" s="51" t="s">
        <v>55</v>
      </c>
      <c r="C39" s="51">
        <v>1</v>
      </c>
      <c r="D39" s="51">
        <v>1</v>
      </c>
      <c r="E39" s="11" t="s">
        <v>102</v>
      </c>
      <c r="F39" s="11" t="s">
        <v>103</v>
      </c>
      <c r="G39" s="11" t="s">
        <v>102</v>
      </c>
      <c r="H39" s="51" t="s">
        <v>82</v>
      </c>
    </row>
    <row r="40">
      <c r="A40" s="51" t="s">
        <v>15</v>
      </c>
      <c r="B40" s="51" t="s">
        <v>56</v>
      </c>
      <c r="C40" s="51">
        <v>0</v>
      </c>
      <c r="D40" s="51">
        <v>1</v>
      </c>
      <c r="E40" s="11" t="s">
        <v>90</v>
      </c>
      <c r="F40" s="11" t="s">
        <v>97</v>
      </c>
      <c r="G40" s="11" t="s">
        <v>102</v>
      </c>
      <c r="H40" s="51" t="s">
        <v>82</v>
      </c>
    </row>
    <row r="41">
      <c r="A41" s="51" t="s">
        <v>15</v>
      </c>
      <c r="B41" s="51" t="s">
        <v>56</v>
      </c>
      <c r="C41" s="51">
        <v>1</v>
      </c>
      <c r="D41" s="51">
        <v>1</v>
      </c>
      <c r="E41" s="11" t="s">
        <v>79</v>
      </c>
      <c r="F41" s="11" t="s">
        <v>104</v>
      </c>
      <c r="G41" s="11" t="s">
        <v>90</v>
      </c>
      <c r="H41" s="51" t="s">
        <v>82</v>
      </c>
    </row>
    <row r="42">
      <c r="A42" s="51" t="s">
        <v>15</v>
      </c>
      <c r="B42" s="51" t="s">
        <v>58</v>
      </c>
      <c r="C42" s="51">
        <v>1</v>
      </c>
      <c r="D42" s="51">
        <v>1</v>
      </c>
      <c r="E42" s="11" t="s">
        <v>79</v>
      </c>
      <c r="F42" s="11" t="s">
        <v>105</v>
      </c>
      <c r="G42" s="11" t="s">
        <v>79</v>
      </c>
      <c r="H42" s="51" t="s">
        <v>82</v>
      </c>
    </row>
    <row r="43">
      <c r="A43" s="51" t="s">
        <v>15</v>
      </c>
      <c r="B43" s="51" t="s">
        <v>58</v>
      </c>
      <c r="C43" s="51">
        <v>1</v>
      </c>
      <c r="D43" s="51">
        <v>1</v>
      </c>
      <c r="E43" s="11" t="s">
        <v>79</v>
      </c>
      <c r="F43" s="11" t="s">
        <v>106</v>
      </c>
      <c r="G43" s="11" t="s">
        <v>79</v>
      </c>
      <c r="H43" s="51" t="s">
        <v>84</v>
      </c>
    </row>
  </sheetData>
  <mergeCells count="5">
    <mergeCell ref="A7:B7"/>
    <mergeCell ref="C6:D6"/>
    <mergeCell ref="C7:D7"/>
    <mergeCell ref="A6:B6"/>
    <mergeCell ref="A2:H2"/>
  </mergeCells>
  <printOptions horizontalCentered="1"/>
  <pageMargins left="0.7083333" right="0.7083333" top="0.7479166" bottom="0.7479166" header="0.3152778" footer="0.3152778"/>
  <pageSetup r:id="rId1" paperSize="169" orientation="landscape"/>
</worksheet>
</file>

<file path=docProps/app.xml><?xml version="1.0" encoding="utf-8"?>
<Properties xmlns="http://schemas.openxmlformats.org/officeDocument/2006/extended-properties">
  <Application>DevExpress Office File API/23.2.6.0</Application>
  <AppVersion>23.2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Gustavo Barahona</dc:creator>
  <cp:lastModifiedBy>IIS APPPOOL\Subtrans</cp:lastModifiedBy>
  <cp:lastPrinted>2017-01-03T15:06:35Z</cp:lastPrinted>
  <dcterms:created xsi:type="dcterms:W3CDTF">2016-02-04T18:46:24Z</dcterms:created>
  <dcterms:modified xsi:type="dcterms:W3CDTF">2026-06-23T03:25:16Z</dcterms:modified>
</cp:coreProperties>
</file>